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SMILA  BENZY\Documents\Data analytics\Excel\Project\"/>
    </mc:Choice>
  </mc:AlternateContent>
  <xr:revisionPtr revIDLastSave="0" documentId="13_ncr:1_{7AE8EBC8-C2DD-413A-86EE-14F846089A64}" xr6:coauthVersionLast="47" xr6:coauthVersionMax="47" xr10:uidLastSave="{00000000-0000-0000-0000-000000000000}"/>
  <bookViews>
    <workbookView xWindow="-108" yWindow="-108" windowWidth="23256" windowHeight="12456" firstSheet="6" activeTab="9" xr2:uid="{E54155D6-937E-4C9E-B552-F3F577A0EE83}"/>
  </bookViews>
  <sheets>
    <sheet name="Cleaned data" sheetId="1" r:id="rId1"/>
    <sheet name="KPI" sheetId="2" r:id="rId2"/>
    <sheet name="Category analysis" sheetId="3" r:id="rId3"/>
    <sheet name="Status analysis" sheetId="4" r:id="rId4"/>
    <sheet name="state analysis" sheetId="5" r:id="rId5"/>
    <sheet name="Fulfillment_Analysis" sheetId="6" r:id="rId6"/>
    <sheet name="size analysis" sheetId="7" r:id="rId7"/>
    <sheet name="Top products analysis" sheetId="8" r:id="rId8"/>
    <sheet name="B2B analysis" sheetId="9" r:id="rId9"/>
    <sheet name="Dashboard" sheetId="11" r:id="rId10"/>
  </sheets>
  <definedNames>
    <definedName name="Slicer_B2B">#N/A</definedName>
    <definedName name="Slicer_Category">#N/A</definedName>
    <definedName name="Slicer_fulfilled_by">#N/A</definedName>
    <definedName name="Slicer_Order_status">#N/A</definedName>
    <definedName name="Slicer_ship_state">#N/A</definedName>
  </definedNames>
  <calcPr calcId="191029"/>
  <pivotCaches>
    <pivotCache cacheId="1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2" i="1" l="1"/>
  <c r="B8" i="2"/>
  <c r="B4" i="2"/>
  <c r="B3" i="2"/>
  <c r="B2" i="2"/>
  <c r="D2" i="1"/>
  <c r="B6" i="2" s="1"/>
  <c r="D3" i="1"/>
  <c r="D4" i="1"/>
  <c r="D5" i="1"/>
  <c r="D6" i="1"/>
  <c r="D7" i="1"/>
  <c r="D8" i="1"/>
  <c r="D9" i="1"/>
  <c r="D10" i="1"/>
  <c r="D11" i="1"/>
  <c r="D12" i="1"/>
  <c r="D13" i="1"/>
  <c r="D14" i="1"/>
  <c r="D15" i="1"/>
  <c r="D16" i="1"/>
  <c r="D17" i="1"/>
  <c r="D18" i="1"/>
  <c r="D19" i="1"/>
  <c r="D20" i="1"/>
  <c r="D21"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B5" i="2" l="1"/>
  <c r="B7" i="2" s="1"/>
</calcChain>
</file>

<file path=xl/sharedStrings.xml><?xml version="1.0" encoding="utf-8"?>
<sst xmlns="http://schemas.openxmlformats.org/spreadsheetml/2006/main" count="3542" uniqueCount="748">
  <si>
    <t>Order ID</t>
  </si>
  <si>
    <t>Date</t>
  </si>
  <si>
    <t>Status</t>
  </si>
  <si>
    <t>Fulfilment</t>
  </si>
  <si>
    <t xml:space="preserve">Sales Channel </t>
  </si>
  <si>
    <t>ship-service-level</t>
  </si>
  <si>
    <t>SKU</t>
  </si>
  <si>
    <t>Category</t>
  </si>
  <si>
    <t>Size</t>
  </si>
  <si>
    <t>Courier Status</t>
  </si>
  <si>
    <t>Qty</t>
  </si>
  <si>
    <t>Amount</t>
  </si>
  <si>
    <t>ship-city</t>
  </si>
  <si>
    <t>ship-state</t>
  </si>
  <si>
    <t>ship-country</t>
  </si>
  <si>
    <t>B2B</t>
  </si>
  <si>
    <t>fulfilled-by</t>
  </si>
  <si>
    <t>405-8078784-5731545</t>
  </si>
  <si>
    <t>Cancelled</t>
  </si>
  <si>
    <t>Merchant</t>
  </si>
  <si>
    <t>Amazon.in</t>
  </si>
  <si>
    <t>Standard</t>
  </si>
  <si>
    <t>SET389-KR-NP-S</t>
  </si>
  <si>
    <t>Set</t>
  </si>
  <si>
    <t>S</t>
  </si>
  <si>
    <t>MUMBAI</t>
  </si>
  <si>
    <t>MAHARASHTRA</t>
  </si>
  <si>
    <t>IN</t>
  </si>
  <si>
    <t>Easy Ship</t>
  </si>
  <si>
    <t>171-9198151-1101146</t>
  </si>
  <si>
    <t>Shipped - Delivered to Buyer</t>
  </si>
  <si>
    <t>JNE3781-KR-XXXL</t>
  </si>
  <si>
    <t>kurta</t>
  </si>
  <si>
    <t>3XL</t>
  </si>
  <si>
    <t>Shipped</t>
  </si>
  <si>
    <t>BENGALURU</t>
  </si>
  <si>
    <t>KARNATAKA</t>
  </si>
  <si>
    <t>404-0687676-7273146</t>
  </si>
  <si>
    <t>Amazon</t>
  </si>
  <si>
    <t>Expedited</t>
  </si>
  <si>
    <t>JNE3371-KR-XL</t>
  </si>
  <si>
    <t>XL</t>
  </si>
  <si>
    <t>NAVI MUMBAI</t>
  </si>
  <si>
    <t>403-9615377-8133951</t>
  </si>
  <si>
    <t>J0341-DR-L</t>
  </si>
  <si>
    <t>Western Dress</t>
  </si>
  <si>
    <t>L</t>
  </si>
  <si>
    <t>PUDUCHERRY</t>
  </si>
  <si>
    <t>407-1069790-7240320</t>
  </si>
  <si>
    <t>JNE3671-TU-XXXL</t>
  </si>
  <si>
    <t>Top</t>
  </si>
  <si>
    <t>CHENNAI</t>
  </si>
  <si>
    <t>TAMIL NADU</t>
  </si>
  <si>
    <t>404-1490984-4578765</t>
  </si>
  <si>
    <t>SET264-KR-NP-XL</t>
  </si>
  <si>
    <t>GHAZIABAD</t>
  </si>
  <si>
    <t>UTTAR PRADESH</t>
  </si>
  <si>
    <t>408-5748499-6859555</t>
  </si>
  <si>
    <t>J0095-SET-L</t>
  </si>
  <si>
    <t>CHANDIGARH</t>
  </si>
  <si>
    <t>406-7807733-3785945</t>
  </si>
  <si>
    <t>JNE3405-KR-S</t>
  </si>
  <si>
    <t>HYDERABAD</t>
  </si>
  <si>
    <t>TELANGANA</t>
  </si>
  <si>
    <t>402-4393761-0311520</t>
  </si>
  <si>
    <t>JNE3461-KR-XXL</t>
  </si>
  <si>
    <t>XXL</t>
  </si>
  <si>
    <t>Chennai</t>
  </si>
  <si>
    <t>407-5633625-6970741</t>
  </si>
  <si>
    <t>JNE3160-KR-G-S</t>
  </si>
  <si>
    <t>171-4638481-6326716</t>
  </si>
  <si>
    <t>JNE3500-KR-XS</t>
  </si>
  <si>
    <t>XS</t>
  </si>
  <si>
    <t>NOIDA</t>
  </si>
  <si>
    <t>405-5513694-8146768</t>
  </si>
  <si>
    <t>JNE3405-KR-XS</t>
  </si>
  <si>
    <t>Amravati.</t>
  </si>
  <si>
    <t>408-7955685-3083534</t>
  </si>
  <si>
    <t>SET182-KR-DH-XS</t>
  </si>
  <si>
    <t>408-1298370-1920302</t>
  </si>
  <si>
    <t>J0351-SET-L</t>
  </si>
  <si>
    <t>403-4965581-9520319</t>
  </si>
  <si>
    <t>PJNE3368-KR-6XL</t>
  </si>
  <si>
    <t>6XL</t>
  </si>
  <si>
    <t>GUNTAKAL</t>
  </si>
  <si>
    <t>ANDHRA PRADESH</t>
  </si>
  <si>
    <t>406-9379318-6555504</t>
  </si>
  <si>
    <t>JNE3721-KR-XXL</t>
  </si>
  <si>
    <t>JAIPUR</t>
  </si>
  <si>
    <t>RAJASTHAN</t>
  </si>
  <si>
    <t>405-9013803-8009918</t>
  </si>
  <si>
    <t>JNE3405-KR-XL</t>
  </si>
  <si>
    <t>NEW DELHI</t>
  </si>
  <si>
    <t>DELHI</t>
  </si>
  <si>
    <t>402-4030358-5835511</t>
  </si>
  <si>
    <t>JNE3697-KR-XXL</t>
  </si>
  <si>
    <t>Gurgaon</t>
  </si>
  <si>
    <t>HARYANA</t>
  </si>
  <si>
    <t>405-5957858-1051546</t>
  </si>
  <si>
    <t>SET254-KR-NP-XS</t>
  </si>
  <si>
    <t>405-0607769-0716360</t>
  </si>
  <si>
    <t>JNE3795-KR-XXXL</t>
  </si>
  <si>
    <t>TIRUCHIRAPPALLI</t>
  </si>
  <si>
    <t>404-8494550-5860325</t>
  </si>
  <si>
    <t>SET345-KR-NP-M</t>
  </si>
  <si>
    <t>M</t>
  </si>
  <si>
    <t>171-1305077-2813934</t>
  </si>
  <si>
    <t>JNE3373-KR-L</t>
  </si>
  <si>
    <t>404-6019946-2909948</t>
  </si>
  <si>
    <t>SET291-KR-PP-M</t>
  </si>
  <si>
    <t>pune</t>
  </si>
  <si>
    <t>402-3384087-4005164</t>
  </si>
  <si>
    <t>MEN5002-KR-L</t>
  </si>
  <si>
    <t>TEZPUR</t>
  </si>
  <si>
    <t>ASSAM</t>
  </si>
  <si>
    <t>405-8191138-5176316</t>
  </si>
  <si>
    <t>NW030-TP-PJ-XS</t>
  </si>
  <si>
    <t>RANCHI</t>
  </si>
  <si>
    <t>JHARKHAND</t>
  </si>
  <si>
    <t>403-9230474-9657916</t>
  </si>
  <si>
    <t>JNE3415-KR-XXXL</t>
  </si>
  <si>
    <t>BILASPUR</t>
  </si>
  <si>
    <t>CHHATTISGARH</t>
  </si>
  <si>
    <t>408-3484251-6901959</t>
  </si>
  <si>
    <t>PJNE2199-KR-N-4XL</t>
  </si>
  <si>
    <t>4XL</t>
  </si>
  <si>
    <t>PUNE</t>
  </si>
  <si>
    <t>405-7755803-4729935</t>
  </si>
  <si>
    <t>JNE3567-KR-M</t>
  </si>
  <si>
    <t>GUWAHATI</t>
  </si>
  <si>
    <t>171-9040274-9291563</t>
  </si>
  <si>
    <t>J0341-DR-S</t>
  </si>
  <si>
    <t>THIRUVARUR</t>
  </si>
  <si>
    <t>403-7056319-0979561</t>
  </si>
  <si>
    <t>MEN5009-KR-XL</t>
  </si>
  <si>
    <t>LUCKNOW</t>
  </si>
  <si>
    <t>404-9632124-1107550</t>
  </si>
  <si>
    <t>J0011-LCD-M</t>
  </si>
  <si>
    <t>VISAKHAPATNAM</t>
  </si>
  <si>
    <t>402-1465437-0579556</t>
  </si>
  <si>
    <t>JNE3766-KR-M</t>
  </si>
  <si>
    <t>JEYPUR</t>
  </si>
  <si>
    <t>ODISHA</t>
  </si>
  <si>
    <t>404-7774085-3780319</t>
  </si>
  <si>
    <t>JNE3373-KR-XL</t>
  </si>
  <si>
    <t>402-2764952-1492318</t>
  </si>
  <si>
    <t>MEN5001-KR-XL</t>
  </si>
  <si>
    <t>406-0272200-7784379</t>
  </si>
  <si>
    <t>SET345-KR-NP-L</t>
  </si>
  <si>
    <t>403-4367956-2849158</t>
  </si>
  <si>
    <t>JNE3787-KR-S</t>
  </si>
  <si>
    <t>JNE3543-KR-S</t>
  </si>
  <si>
    <t>403-4242957-8599555</t>
  </si>
  <si>
    <t>JNE3405-KR-L</t>
  </si>
  <si>
    <t>THIRUVANANTHAPURAM</t>
  </si>
  <si>
    <t>KERALA</t>
  </si>
  <si>
    <t>408-7165704-5643524</t>
  </si>
  <si>
    <t>J0211-DR-XXL</t>
  </si>
  <si>
    <t>Ethnic Dress</t>
  </si>
  <si>
    <t>GREATER NOIDA</t>
  </si>
  <si>
    <t>402-8210765-3935569</t>
  </si>
  <si>
    <t>J0401-DR-XXXL</t>
  </si>
  <si>
    <t>JABALPUR</t>
  </si>
  <si>
    <t>MADHYA PRADESH</t>
  </si>
  <si>
    <t>406-7398201-3869914</t>
  </si>
  <si>
    <t>JNE2153-KR-278-A-M</t>
  </si>
  <si>
    <t>408-3478480-0881162</t>
  </si>
  <si>
    <t>SET360-KR-NP-M</t>
  </si>
  <si>
    <t>402-7595162-9129931</t>
  </si>
  <si>
    <t>SET268-KR-NP-L</t>
  </si>
  <si>
    <t>171-6876154-6233146</t>
  </si>
  <si>
    <t>SET183-KR-DH-S</t>
  </si>
  <si>
    <t>KOLKATA</t>
  </si>
  <si>
    <t>WEST BENGAL</t>
  </si>
  <si>
    <t>408-3917043-5314763</t>
  </si>
  <si>
    <t>J0230-SKD-L</t>
  </si>
  <si>
    <t>ONGOLE</t>
  </si>
  <si>
    <t>408-9281152-6213100</t>
  </si>
  <si>
    <t>JNE3744-TU-S</t>
  </si>
  <si>
    <t>SECUNDERABAD</t>
  </si>
  <si>
    <t>403-3496411-3082707</t>
  </si>
  <si>
    <t>JNE3510-KR-S</t>
  </si>
  <si>
    <t>171-9208368-0157156</t>
  </si>
  <si>
    <t>JNE3405-KR-M</t>
  </si>
  <si>
    <t>KEWALPUR</t>
  </si>
  <si>
    <t>408-2137113-0982751</t>
  </si>
  <si>
    <t>J0186-SET-S</t>
  </si>
  <si>
    <t>CUTTACK</t>
  </si>
  <si>
    <t>402-3628566-9688333</t>
  </si>
  <si>
    <t>J0003-SET-M</t>
  </si>
  <si>
    <t>BADLAPUR</t>
  </si>
  <si>
    <t>408-7138000-9728362</t>
  </si>
  <si>
    <t>SET282-KR-PP-M</t>
  </si>
  <si>
    <t>dimapur</t>
  </si>
  <si>
    <t>NAGALAND</t>
  </si>
  <si>
    <t>402-1752649-2274748</t>
  </si>
  <si>
    <t>JNE1407-BLACK-KR-UDF18-XL</t>
  </si>
  <si>
    <t>402-7944191-1869101</t>
  </si>
  <si>
    <t>J0301-TP-L</t>
  </si>
  <si>
    <t>407-4063876-9566742</t>
  </si>
  <si>
    <t>JNE3869-DR-S</t>
  </si>
  <si>
    <t>WARANGAL</t>
  </si>
  <si>
    <t>403-0752752-4656334</t>
  </si>
  <si>
    <t>SET324-KR-NP-XS</t>
  </si>
  <si>
    <t>DHAULPUR</t>
  </si>
  <si>
    <t>406-8879861-2081117</t>
  </si>
  <si>
    <t>406-8089333-7941903</t>
  </si>
  <si>
    <t>SET279-LC-S</t>
  </si>
  <si>
    <t>Bengaluru</t>
  </si>
  <si>
    <t>171-3072652-6805159</t>
  </si>
  <si>
    <t>JNE2014-KR-178-XXL</t>
  </si>
  <si>
    <t>171-2592464-6846743</t>
  </si>
  <si>
    <t>NW005-ST-PJ-XL</t>
  </si>
  <si>
    <t>404-2262140-4696366</t>
  </si>
  <si>
    <t>JNE2270-KR-487-A-M</t>
  </si>
  <si>
    <t>NAGPUR</t>
  </si>
  <si>
    <t>JNE3579-KR-M</t>
  </si>
  <si>
    <t>405-3594372-1614709</t>
  </si>
  <si>
    <t>SET347-KR-NP-XS</t>
  </si>
  <si>
    <t>407-2974257-4781134</t>
  </si>
  <si>
    <t>SET264-KR-NP-M</t>
  </si>
  <si>
    <t>THANE</t>
  </si>
  <si>
    <t>Gujarat</t>
  </si>
  <si>
    <t>405-4461562-9113959</t>
  </si>
  <si>
    <t>SET333-KR-DPT-XXL</t>
  </si>
  <si>
    <t>404-4535078-5241919</t>
  </si>
  <si>
    <t>JNE3645-TP-N-L</t>
  </si>
  <si>
    <t>405-8387725-2971512</t>
  </si>
  <si>
    <t>SET233-KR-PP-L</t>
  </si>
  <si>
    <t>405-6480932-8759528</t>
  </si>
  <si>
    <t>J0381-SKD-XXXL</t>
  </si>
  <si>
    <t>VIJAPURA</t>
  </si>
  <si>
    <t>405-9966506-3155561</t>
  </si>
  <si>
    <t>JNE3068-KR-A-XL</t>
  </si>
  <si>
    <t>408-7029737-8028367</t>
  </si>
  <si>
    <t>JNE3718-KR-M</t>
  </si>
  <si>
    <t>407-2189901-7515567</t>
  </si>
  <si>
    <t>SET386-KR-NP-S</t>
  </si>
  <si>
    <t>bangalore</t>
  </si>
  <si>
    <t>402-2105657-2899562</t>
  </si>
  <si>
    <t>JNE3745-KR-XXL</t>
  </si>
  <si>
    <t>406-1326801-8886709</t>
  </si>
  <si>
    <t>JNE3467-KR-XL</t>
  </si>
  <si>
    <t>BERHAMPUR</t>
  </si>
  <si>
    <t>408-7760667-5809130</t>
  </si>
  <si>
    <t>JNE3721-KR-L</t>
  </si>
  <si>
    <t>405-8457623-9269955</t>
  </si>
  <si>
    <t>JNE3405-KR-XXL</t>
  </si>
  <si>
    <t>408-6820155-3521913</t>
  </si>
  <si>
    <t>SET295-KR-NP-XXXL</t>
  </si>
  <si>
    <t>403-6190683-2687538</t>
  </si>
  <si>
    <t>JNE3861-DR-XL</t>
  </si>
  <si>
    <t>HIMMATNAGAR</t>
  </si>
  <si>
    <t>408-4069830-3819562</t>
  </si>
  <si>
    <t>SET288-KR-NP-XXXL</t>
  </si>
  <si>
    <t>Kolkata</t>
  </si>
  <si>
    <t>SET394-KR-NP-XXXL</t>
  </si>
  <si>
    <t>SET397-KR-NP-XXXL</t>
  </si>
  <si>
    <t>171-7367545-7081126</t>
  </si>
  <si>
    <t>MEN5002-KR-XXL</t>
  </si>
  <si>
    <t>404-6522553-9345930</t>
  </si>
  <si>
    <t>SET377-KR-NP-M</t>
  </si>
  <si>
    <t>DEHRADUN</t>
  </si>
  <si>
    <t>UTTARAKHAND</t>
  </si>
  <si>
    <t>407-6599093-6553153</t>
  </si>
  <si>
    <t>BTM038-PP-XXXL</t>
  </si>
  <si>
    <t>Bottom</t>
  </si>
  <si>
    <t>403-3763475-2237125</t>
  </si>
  <si>
    <t>J0343-DR-M</t>
  </si>
  <si>
    <t>DHARMAPURI</t>
  </si>
  <si>
    <t>405-1492294-0323520</t>
  </si>
  <si>
    <t>J0341-DR-XL</t>
  </si>
  <si>
    <t>403-1162895-2484367</t>
  </si>
  <si>
    <t>J0295-DR-XXL</t>
  </si>
  <si>
    <t>171-6833843-5473114</t>
  </si>
  <si>
    <t>JNE3560-KR-M</t>
  </si>
  <si>
    <t>VADODARA</t>
  </si>
  <si>
    <t>403-1477057-8253913</t>
  </si>
  <si>
    <t>J0333-DR-XXXL</t>
  </si>
  <si>
    <t>CHAVAKKAD</t>
  </si>
  <si>
    <t>408-2114413-6089906</t>
  </si>
  <si>
    <t>SET389-KR-NP-M</t>
  </si>
  <si>
    <t>PATNA</t>
  </si>
  <si>
    <t>BIHAR</t>
  </si>
  <si>
    <t>405-1879750-2639521</t>
  </si>
  <si>
    <t>JNE3801-KR-XXXL</t>
  </si>
  <si>
    <t>406-5727754-5302723</t>
  </si>
  <si>
    <t>SET098-KR-PP-M</t>
  </si>
  <si>
    <t>405-0901744-8270705</t>
  </si>
  <si>
    <t>MEN5013-KR-L</t>
  </si>
  <si>
    <t>408-6357132-2310703</t>
  </si>
  <si>
    <t>J0003-SET-L</t>
  </si>
  <si>
    <t>Jammu</t>
  </si>
  <si>
    <t>JAMMU &amp; KASHMIR</t>
  </si>
  <si>
    <t>406-5334922-9670748</t>
  </si>
  <si>
    <t>JNE3718-KR-XXXL</t>
  </si>
  <si>
    <t>402-8519791-3706738</t>
  </si>
  <si>
    <t>SET347-KR-NP-S</t>
  </si>
  <si>
    <t>408-1830318-0357940</t>
  </si>
  <si>
    <t>NARNAUND</t>
  </si>
  <si>
    <t>406-5103760-7326749</t>
  </si>
  <si>
    <t>JNE3391-KR-XXL</t>
  </si>
  <si>
    <t>Ahmedabad</t>
  </si>
  <si>
    <t>408-7698765-2294756</t>
  </si>
  <si>
    <t>SET277-KR-NP-XXL</t>
  </si>
  <si>
    <t>AMBARNATH</t>
  </si>
  <si>
    <t>404-1856281-9996319</t>
  </si>
  <si>
    <t>J0293-DR-S</t>
  </si>
  <si>
    <t>GWALIOR</t>
  </si>
  <si>
    <t>406-5406738-7113145</t>
  </si>
  <si>
    <t>405-5257740-5301158</t>
  </si>
  <si>
    <t>SET154-KR-NP-XL</t>
  </si>
  <si>
    <t>ROHTAK</t>
  </si>
  <si>
    <t>JNE3439-KR-XL</t>
  </si>
  <si>
    <t>405-2072502-4089911</t>
  </si>
  <si>
    <t>SET291-KR-PP-XL</t>
  </si>
  <si>
    <t>405-0882561-5952340</t>
  </si>
  <si>
    <t>SET293-KR-NP-M</t>
  </si>
  <si>
    <t>403-7266170-1163500</t>
  </si>
  <si>
    <t>JNE3648-TP-N-M</t>
  </si>
  <si>
    <t>405-8114272-1687512</t>
  </si>
  <si>
    <t>171-6138639-1478731</t>
  </si>
  <si>
    <t>JNE3334-KR-M</t>
  </si>
  <si>
    <t>405-4059216-4541150</t>
  </si>
  <si>
    <t>SET331-KR-NP-XS</t>
  </si>
  <si>
    <t>405-1152015-7333945</t>
  </si>
  <si>
    <t>SET265-KR-NP-S</t>
  </si>
  <si>
    <t>406-0177436-6731556</t>
  </si>
  <si>
    <t>JNE3718-KR-S</t>
  </si>
  <si>
    <t>RAMAGUNDAM</t>
  </si>
  <si>
    <t>406-0715107-8168308</t>
  </si>
  <si>
    <t>SET397-KR-NP  -M</t>
  </si>
  <si>
    <t>PITHORAGARH</t>
  </si>
  <si>
    <t>403-0104882-7373900</t>
  </si>
  <si>
    <t>JNE3861-DR-XXL</t>
  </si>
  <si>
    <t>Unshipped</t>
  </si>
  <si>
    <t>J0335-DR-XL</t>
  </si>
  <si>
    <t>J0335-DR-XXL</t>
  </si>
  <si>
    <t>405-3002282-6797102</t>
  </si>
  <si>
    <t>JNE1525-KR-UDF19-A-S</t>
  </si>
  <si>
    <t>407-8466904-3461908</t>
  </si>
  <si>
    <t>JNE3654-TP-XL</t>
  </si>
  <si>
    <t>171-3305587-5364338</t>
  </si>
  <si>
    <t>JNE3261-KR-S</t>
  </si>
  <si>
    <t>406-8961316-8137943</t>
  </si>
  <si>
    <t>SET324-KR-NP-S</t>
  </si>
  <si>
    <t>GUWAHATI, KAMRUP (M)</t>
  </si>
  <si>
    <t>SET332-KR-PP-S</t>
  </si>
  <si>
    <t>171-2813040-8296320</t>
  </si>
  <si>
    <t>SET324-KR-NP-XXXL</t>
  </si>
  <si>
    <t>KOLAR</t>
  </si>
  <si>
    <t>408-9845791-1393151</t>
  </si>
  <si>
    <t>PATIALA</t>
  </si>
  <si>
    <t>PUNJAB</t>
  </si>
  <si>
    <t>402-4277204-2348328</t>
  </si>
  <si>
    <t>SET280-KR-PP-S</t>
  </si>
  <si>
    <t>REWA</t>
  </si>
  <si>
    <t>171-3049339-2085136</t>
  </si>
  <si>
    <t>JNE3618-KR-XXL</t>
  </si>
  <si>
    <t>BONGAIGAON</t>
  </si>
  <si>
    <t>405-9928526-2470747</t>
  </si>
  <si>
    <t>SET304-KR-DPT-XS</t>
  </si>
  <si>
    <t>405-4908072-0260360</t>
  </si>
  <si>
    <t>MEN5032-KR-XXXL</t>
  </si>
  <si>
    <t>406-3984186-5973150</t>
  </si>
  <si>
    <t>SET110-KR-PP-XXL</t>
  </si>
  <si>
    <t>Chengalpattu</t>
  </si>
  <si>
    <t>171-8635309-7508346</t>
  </si>
  <si>
    <t>SET324-KR-NP-M</t>
  </si>
  <si>
    <t>PERAMBALUR</t>
  </si>
  <si>
    <t>402-8288606-4313118</t>
  </si>
  <si>
    <t>JNE3794-KR-M</t>
  </si>
  <si>
    <t>HIMACHAL PRADESH</t>
  </si>
  <si>
    <t>402-8746990-6412346</t>
  </si>
  <si>
    <t>JNE3291-KR-XXL</t>
  </si>
  <si>
    <t>402-0294212-5431551</t>
  </si>
  <si>
    <t>JNE3440-KR-N-XXXL</t>
  </si>
  <si>
    <t>VARANASI</t>
  </si>
  <si>
    <t>406-1530134-2105912</t>
  </si>
  <si>
    <t>JNE2270-KR-487-A-XXL</t>
  </si>
  <si>
    <t>403-5222550-4437140</t>
  </si>
  <si>
    <t>JNE3261-KR-M</t>
  </si>
  <si>
    <t>COIMBATORE</t>
  </si>
  <si>
    <t>408-1482435-5202714</t>
  </si>
  <si>
    <t>SET110-KR-PP-M</t>
  </si>
  <si>
    <t>CHIRMIRI</t>
  </si>
  <si>
    <t>408-3113070-0750756</t>
  </si>
  <si>
    <t>KALYAN</t>
  </si>
  <si>
    <t>404-7796841-1880317</t>
  </si>
  <si>
    <t>JNE3810-KR-S</t>
  </si>
  <si>
    <t>405-2142542-0941949</t>
  </si>
  <si>
    <t>JNE3461-KR-XL</t>
  </si>
  <si>
    <t>405-0286717-7761132</t>
  </si>
  <si>
    <t>JNE3429-KR-XL</t>
  </si>
  <si>
    <t>406-9021273-9221106</t>
  </si>
  <si>
    <t>JNE3710-DR-S</t>
  </si>
  <si>
    <t>404-5381335-4577925</t>
  </si>
  <si>
    <t>J0113-TP-XS</t>
  </si>
  <si>
    <t>MYSORE</t>
  </si>
  <si>
    <t>171-0131752-2560336</t>
  </si>
  <si>
    <t>SET355-KR-PP-M</t>
  </si>
  <si>
    <t>BARABANKI</t>
  </si>
  <si>
    <t>407-4235449-1353916</t>
  </si>
  <si>
    <t>J0009-SKD-S</t>
  </si>
  <si>
    <t>AMILA</t>
  </si>
  <si>
    <t>171-8061614-5688327</t>
  </si>
  <si>
    <t>J0248-KR-DPT-XL</t>
  </si>
  <si>
    <t>VIJAYAWADA</t>
  </si>
  <si>
    <t>407-8248783-4261958</t>
  </si>
  <si>
    <t>JNE3560-KR-XL</t>
  </si>
  <si>
    <t>RAWAN AMBUJA CEMENT PLANT</t>
  </si>
  <si>
    <t>404-6513062-3876305</t>
  </si>
  <si>
    <t>JNE3373-KR-XXXL</t>
  </si>
  <si>
    <t>406-7779874-9136347</t>
  </si>
  <si>
    <t>SET398-KR-PP-L</t>
  </si>
  <si>
    <t>HERBERTPUR</t>
  </si>
  <si>
    <t>406-9638549-1733961</t>
  </si>
  <si>
    <t>NW032-ST-CP-XXL</t>
  </si>
  <si>
    <t>407-8801185-0134713</t>
  </si>
  <si>
    <t>SET361-KR-NP-S</t>
  </si>
  <si>
    <t>171-3625443-6505905</t>
  </si>
  <si>
    <t>JNE3797-KR-L</t>
  </si>
  <si>
    <t>KALAMASSERY</t>
  </si>
  <si>
    <t>402-2820441-9623566</t>
  </si>
  <si>
    <t>JNE3870-DR-XXL</t>
  </si>
  <si>
    <t>TIKABALI</t>
  </si>
  <si>
    <t>171-4312987-5366767</t>
  </si>
  <si>
    <t>SET345-KR-NP-XS</t>
  </si>
  <si>
    <t>BIHARSHARIF</t>
  </si>
  <si>
    <t>403-5189998-9343503</t>
  </si>
  <si>
    <t>NW013-ST-SR-L</t>
  </si>
  <si>
    <t>407-9863928-5979501</t>
  </si>
  <si>
    <t>JNE2014-KR-178-XL</t>
  </si>
  <si>
    <t>PARAVUR</t>
  </si>
  <si>
    <t>171-4644162-9093116</t>
  </si>
  <si>
    <t>JNE3612-KR-S</t>
  </si>
  <si>
    <t>BASTI</t>
  </si>
  <si>
    <t>406-0974406-3179521</t>
  </si>
  <si>
    <t>PJNE2100-KR-N-6XL</t>
  </si>
  <si>
    <t>WALAJAPET</t>
  </si>
  <si>
    <t>402-0048138-1845122</t>
  </si>
  <si>
    <t>SET398-KR-PP-XXXL</t>
  </si>
  <si>
    <t>Dimapur</t>
  </si>
  <si>
    <t>407-6283946-7749133</t>
  </si>
  <si>
    <t>J0006-SET-M</t>
  </si>
  <si>
    <t>407-0542879-1795554</t>
  </si>
  <si>
    <t>Mahendragarh</t>
  </si>
  <si>
    <t>407-3742007-3242711</t>
  </si>
  <si>
    <t>JNE3437-KR-S</t>
  </si>
  <si>
    <t>JNE3465-KR-S</t>
  </si>
  <si>
    <t>405-3067317-3360344</t>
  </si>
  <si>
    <t>J0373-KR-XXXL</t>
  </si>
  <si>
    <t>406-5648244-8317954</t>
  </si>
  <si>
    <t>J0344-TP-XXXL</t>
  </si>
  <si>
    <t>New Delhi</t>
  </si>
  <si>
    <t>171-3460653-0171519</t>
  </si>
  <si>
    <t>J0118-TP-XXL</t>
  </si>
  <si>
    <t>GURUGRAM</t>
  </si>
  <si>
    <t>404-5337874-2284337</t>
  </si>
  <si>
    <t>SET200-KR-NP-A-XS</t>
  </si>
  <si>
    <t>405-2660443-4165145</t>
  </si>
  <si>
    <t>402-3329522-2367566</t>
  </si>
  <si>
    <t>JNE1998-KR-311-XXL</t>
  </si>
  <si>
    <t>406-3078054-1755513</t>
  </si>
  <si>
    <t>MEN5004-KR-XXXL</t>
  </si>
  <si>
    <t>BIJNOR</t>
  </si>
  <si>
    <t>171-4647176-6456305</t>
  </si>
  <si>
    <t>SET345-KR-NP-XXL</t>
  </si>
  <si>
    <t>408-5011528-8276347</t>
  </si>
  <si>
    <t>ALLAHABAD</t>
  </si>
  <si>
    <t>407-4097885-3129958</t>
  </si>
  <si>
    <t>JNE3654-TP-L</t>
  </si>
  <si>
    <t>VASAI VIRAR</t>
  </si>
  <si>
    <t>171-1224053-5752314</t>
  </si>
  <si>
    <t>J0344-TP-L</t>
  </si>
  <si>
    <t>406-2849582-6531553</t>
  </si>
  <si>
    <t>J0334-TP-L</t>
  </si>
  <si>
    <t>407-5875767-6399551</t>
  </si>
  <si>
    <t>J0230-SKD-S</t>
  </si>
  <si>
    <t>171-6336729-6763536</t>
  </si>
  <si>
    <t>404-3907920-5281963</t>
  </si>
  <si>
    <t>JNE1233-BLUE-KR-031-XXL</t>
  </si>
  <si>
    <t>408-7310428-6047538</t>
  </si>
  <si>
    <t>J0295-DR-M</t>
  </si>
  <si>
    <t>403-2608092-6065935</t>
  </si>
  <si>
    <t>SET324-KR-NP-L</t>
  </si>
  <si>
    <t>MANGALURU</t>
  </si>
  <si>
    <t>404-9760385-9109154</t>
  </si>
  <si>
    <t>405-0732969-3941948</t>
  </si>
  <si>
    <t>J0147-SET-XL</t>
  </si>
  <si>
    <t>NEW TOWN</t>
  </si>
  <si>
    <t>402-2720308-2560327</t>
  </si>
  <si>
    <t>J0308-DR-L</t>
  </si>
  <si>
    <t>402-0589123-6183541</t>
  </si>
  <si>
    <t>NW030-TP-PJ-L</t>
  </si>
  <si>
    <t>408-3874942-9917143</t>
  </si>
  <si>
    <t>SET360-KR-NP-XL</t>
  </si>
  <si>
    <t>SAMBHAL</t>
  </si>
  <si>
    <t>402-1706149-0949104</t>
  </si>
  <si>
    <t>PJNE3373-KR-N-6XL</t>
  </si>
  <si>
    <t>407-1672316-3245939</t>
  </si>
  <si>
    <t>JNE3449-KR-XXL</t>
  </si>
  <si>
    <t>ELAVANASURKOTTAI</t>
  </si>
  <si>
    <t>405-1832646-7988329</t>
  </si>
  <si>
    <t>JNE3786-KR-S</t>
  </si>
  <si>
    <t>SANGLI MIRAJ KUPWAD</t>
  </si>
  <si>
    <t>408-9692204-9817146</t>
  </si>
  <si>
    <t>402-9339129-6219537</t>
  </si>
  <si>
    <t>J0003-SET-XXL</t>
  </si>
  <si>
    <t>MYSURU</t>
  </si>
  <si>
    <t>405-3036350-8089120</t>
  </si>
  <si>
    <t>J0314-KR-M</t>
  </si>
  <si>
    <t>ANKLESHWR</t>
  </si>
  <si>
    <t>404-6680046-0839536</t>
  </si>
  <si>
    <t>J0341-DR-M</t>
  </si>
  <si>
    <t>406-2966654-4672325</t>
  </si>
  <si>
    <t>PJNE3068-KR-4XL</t>
  </si>
  <si>
    <t>Greater Noida West</t>
  </si>
  <si>
    <t>403-4845285-4565113</t>
  </si>
  <si>
    <t>J0340-TP-M</t>
  </si>
  <si>
    <t>JAMMU</t>
  </si>
  <si>
    <t>171-4496851-5319548</t>
  </si>
  <si>
    <t>JNE3687-TU-M</t>
  </si>
  <si>
    <t>408-3416118-1167564</t>
  </si>
  <si>
    <t>J0376-SKD-L</t>
  </si>
  <si>
    <t>ITANAGAR</t>
  </si>
  <si>
    <t>ARUNACHAL PRADESH</t>
  </si>
  <si>
    <t>406-1590113-9193914</t>
  </si>
  <si>
    <t>404-0363929-8015528</t>
  </si>
  <si>
    <t>J0198-TP-S</t>
  </si>
  <si>
    <t>KARANJA</t>
  </si>
  <si>
    <t>407-7173744-5333154</t>
  </si>
  <si>
    <t>JNE3453-KR-S</t>
  </si>
  <si>
    <t>405-6880044-2861120</t>
  </si>
  <si>
    <t>NIMBAHERA</t>
  </si>
  <si>
    <t>171-1851948-5476361</t>
  </si>
  <si>
    <t>SET398-KR-PP-M</t>
  </si>
  <si>
    <t>Imphal East</t>
  </si>
  <si>
    <t>MANIPUR</t>
  </si>
  <si>
    <t>171-5810429-4493110</t>
  </si>
  <si>
    <t>NW033-ST-CP-XXXL</t>
  </si>
  <si>
    <t>BIDHAN NAGAR</t>
  </si>
  <si>
    <t>171-1068229-1581965</t>
  </si>
  <si>
    <t>NW037-TP-SR-XXXL</t>
  </si>
  <si>
    <t>402-2105140-3584364</t>
  </si>
  <si>
    <t>JNE3618-KR-M</t>
  </si>
  <si>
    <t>403-3561336-3563535</t>
  </si>
  <si>
    <t>SET290-KR-DPT-M</t>
  </si>
  <si>
    <t>AHMEDABAD</t>
  </si>
  <si>
    <t>402-9532672-5385917</t>
  </si>
  <si>
    <t>408-4547464-4180323</t>
  </si>
  <si>
    <t>JNE3568-KR-XXL</t>
  </si>
  <si>
    <t>BHUBANESWAR</t>
  </si>
  <si>
    <t>402-2211107-5096323</t>
  </si>
  <si>
    <t>J0003-SET-XXXL</t>
  </si>
  <si>
    <t>ALIGARH</t>
  </si>
  <si>
    <t>403-9412025-7537140</t>
  </si>
  <si>
    <t>JNE2153-KR-278-A-S</t>
  </si>
  <si>
    <t>KOCHI</t>
  </si>
  <si>
    <t>171-8452330-4756317</t>
  </si>
  <si>
    <t>JNE3645-TP-N-XS</t>
  </si>
  <si>
    <t>171-4350114-4299568</t>
  </si>
  <si>
    <t>JNE3662-TP-XS</t>
  </si>
  <si>
    <t>405-8692900-3888310</t>
  </si>
  <si>
    <t>JNE3440-KR-N-L</t>
  </si>
  <si>
    <t>Bangalore</t>
  </si>
  <si>
    <t>402-6750101-3923558</t>
  </si>
  <si>
    <t>SET331-KR-NP-S</t>
  </si>
  <si>
    <t>MALAPPURAM</t>
  </si>
  <si>
    <t>403-5725327-6264327</t>
  </si>
  <si>
    <t>J0301-TP-M</t>
  </si>
  <si>
    <t>403-5209693-1173944</t>
  </si>
  <si>
    <t>MEN5004-KR-XL</t>
  </si>
  <si>
    <t>403-8255889-7526765</t>
  </si>
  <si>
    <t>J0352-KR-S</t>
  </si>
  <si>
    <t>407-3554912-7244363</t>
  </si>
  <si>
    <t>JNE3160-KR-G-XXL</t>
  </si>
  <si>
    <t>SIBSAGAR</t>
  </si>
  <si>
    <t>407-4737202-9096304</t>
  </si>
  <si>
    <t>JNE3798-KR-M</t>
  </si>
  <si>
    <t>GAYA</t>
  </si>
  <si>
    <t>171-2842936-5423534</t>
  </si>
  <si>
    <t>JNE3690-TU-XL</t>
  </si>
  <si>
    <t>407-4936046-5852304</t>
  </si>
  <si>
    <t>SET355-KR-PP-XXL</t>
  </si>
  <si>
    <t>SET317-KR-PP-XXL</t>
  </si>
  <si>
    <t>402-9580874-3525948</t>
  </si>
  <si>
    <t>SET375-KR-NP-XL</t>
  </si>
  <si>
    <t>KOLLAM</t>
  </si>
  <si>
    <t>404-7426070-1355530</t>
  </si>
  <si>
    <t>JNE3371-KR-M</t>
  </si>
  <si>
    <t>406-4878137-1126707</t>
  </si>
  <si>
    <t>171-3505516-3505949</t>
  </si>
  <si>
    <t>SET116-KR-NP-XL</t>
  </si>
  <si>
    <t>406-6199849-7523514</t>
  </si>
  <si>
    <t>PERALASSERI</t>
  </si>
  <si>
    <t>406-6180074-2350757</t>
  </si>
  <si>
    <t>SET147-KR-NP-XL</t>
  </si>
  <si>
    <t>SET397-KR-NP-XL</t>
  </si>
  <si>
    <t>406-2403215-8361103</t>
  </si>
  <si>
    <t>SET300-KR-NP-L</t>
  </si>
  <si>
    <t>404-6578109-5618751</t>
  </si>
  <si>
    <t>JNE3384-KR-M</t>
  </si>
  <si>
    <t>407-2307966-4961113</t>
  </si>
  <si>
    <t>JNE3291-KR-XL</t>
  </si>
  <si>
    <t>UDUPI</t>
  </si>
  <si>
    <t>404-5539778-0029904</t>
  </si>
  <si>
    <t>SET291-KR-PP-L</t>
  </si>
  <si>
    <t>MARIANI</t>
  </si>
  <si>
    <t>171-6222676-0740318</t>
  </si>
  <si>
    <t>JNE3399-KR-L</t>
  </si>
  <si>
    <t>403-2166075-2254703</t>
  </si>
  <si>
    <t>407-5766340-7411567</t>
  </si>
  <si>
    <t>JNE3440-KR-N-XS</t>
  </si>
  <si>
    <t>408-2759943-9849959</t>
  </si>
  <si>
    <t>SET363-KR-NP-XXL</t>
  </si>
  <si>
    <t>403-5977671-8855508</t>
  </si>
  <si>
    <t>Shipped - Returned to Seller</t>
  </si>
  <si>
    <t>COOCH BEHAR</t>
  </si>
  <si>
    <t>408-9321153-0591557</t>
  </si>
  <si>
    <t>404-0696150-3898703</t>
  </si>
  <si>
    <t>J0348-SET-S</t>
  </si>
  <si>
    <t>406-7586136-6520337</t>
  </si>
  <si>
    <t>J0399-DR-M</t>
  </si>
  <si>
    <t>407-6146457-8788352</t>
  </si>
  <si>
    <t>JNE3797-KR-M</t>
  </si>
  <si>
    <t>JNE3802-KR-M</t>
  </si>
  <si>
    <t>402-2703790-2816329</t>
  </si>
  <si>
    <t>J0285-SKD-M</t>
  </si>
  <si>
    <t>JHARIA KHAS</t>
  </si>
  <si>
    <t>407-1515930-8661921</t>
  </si>
  <si>
    <t>SET322-KR-SHA-XL</t>
  </si>
  <si>
    <t>405-9144614-1601126</t>
  </si>
  <si>
    <t>MEN5021-KR-XL</t>
  </si>
  <si>
    <t>Secunderabad</t>
  </si>
  <si>
    <t>407-0994909-4122733</t>
  </si>
  <si>
    <t>PJ0096-KR-N-5XL</t>
  </si>
  <si>
    <t>5XL</t>
  </si>
  <si>
    <t>UDAIPUR</t>
  </si>
  <si>
    <t>402-7042386-5486768</t>
  </si>
  <si>
    <t>JNE3461-KR-M</t>
  </si>
  <si>
    <t>403-7652993-1507525</t>
  </si>
  <si>
    <t>SET383-KR-NP-L</t>
  </si>
  <si>
    <t>407-3847456-6656309</t>
  </si>
  <si>
    <t>J0002-SKD-XXXL</t>
  </si>
  <si>
    <t>BHAGALPUR</t>
  </si>
  <si>
    <t>SET344-KR-NP-XXXL</t>
  </si>
  <si>
    <t>171-7623384-8040337</t>
  </si>
  <si>
    <t>JNE3465-KR-XXL</t>
  </si>
  <si>
    <t>SET324-KR-NP-XXL</t>
  </si>
  <si>
    <t>171-4607096-6413920</t>
  </si>
  <si>
    <t>SET184-KR-PP-XXXL</t>
  </si>
  <si>
    <t>404-6783988-2006729</t>
  </si>
  <si>
    <t>404-6975277-1927553</t>
  </si>
  <si>
    <t>BERHAMPORE</t>
  </si>
  <si>
    <t>402-5586272-3646748</t>
  </si>
  <si>
    <t>J0008-SKD-S</t>
  </si>
  <si>
    <t>Dehradun</t>
  </si>
  <si>
    <t>171-6655820-6440356</t>
  </si>
  <si>
    <t>J0008-SKD-XXL</t>
  </si>
  <si>
    <t>171-1584788-8864335</t>
  </si>
  <si>
    <t>J0013-SKD-XXL</t>
  </si>
  <si>
    <t>402-0150402-0900371</t>
  </si>
  <si>
    <t>J0208-DR-S</t>
  </si>
  <si>
    <t>SEONI</t>
  </si>
  <si>
    <t>408-6791822-5493964</t>
  </si>
  <si>
    <t>SET344-KR-NP-XL</t>
  </si>
  <si>
    <t>Agra</t>
  </si>
  <si>
    <t>405-0483874-0889137</t>
  </si>
  <si>
    <t>NW001-TP-PJ-XXL</t>
  </si>
  <si>
    <t>407-5600921-2143569</t>
  </si>
  <si>
    <t>SET304-KR-DPT-S</t>
  </si>
  <si>
    <t>407-5124083-2725136</t>
  </si>
  <si>
    <t>SET004-KR-SP-A-S</t>
  </si>
  <si>
    <t>407-4766116-5412325</t>
  </si>
  <si>
    <t>Nermand</t>
  </si>
  <si>
    <t>402-6885004-6990731</t>
  </si>
  <si>
    <t>402-2207276-9869933</t>
  </si>
  <si>
    <t>J0012-SKD-M</t>
  </si>
  <si>
    <t>KAMAREDDY</t>
  </si>
  <si>
    <t>407-9494293-9423561</t>
  </si>
  <si>
    <t>JNE3465-KR-M</t>
  </si>
  <si>
    <t>SRINAGAR</t>
  </si>
  <si>
    <t>171-6867266-8495534</t>
  </si>
  <si>
    <t>SET374-KR-NP-XS</t>
  </si>
  <si>
    <t>408-3475592-6193128</t>
  </si>
  <si>
    <t>JNE3567-KR-XL</t>
  </si>
  <si>
    <t>MUDDEBIHAL</t>
  </si>
  <si>
    <t>171-1987024-2709164</t>
  </si>
  <si>
    <t>J0041-SET-M</t>
  </si>
  <si>
    <t>SANTHAMAGULURU MANDAL</t>
  </si>
  <si>
    <t>406-1522425-5387565</t>
  </si>
  <si>
    <t>JNE3611-KR-XL</t>
  </si>
  <si>
    <t>171-3270734-5045130</t>
  </si>
  <si>
    <t>SET384-KR-NP-XS</t>
  </si>
  <si>
    <t>408-4101226-7217932</t>
  </si>
  <si>
    <t>171-5719664-5449151</t>
  </si>
  <si>
    <t>403-9400764-4029123</t>
  </si>
  <si>
    <t>406-8413944-2634744</t>
  </si>
  <si>
    <t>Hyderabad</t>
  </si>
  <si>
    <t>406-8271099-5133911</t>
  </si>
  <si>
    <t>JNE3635-KR-L</t>
  </si>
  <si>
    <t>405-3441326-1516368</t>
  </si>
  <si>
    <t>J0118-TP-XXXL</t>
  </si>
  <si>
    <t>KOLKATA 700034</t>
  </si>
  <si>
    <t>408-8009772-6580317</t>
  </si>
  <si>
    <t>JNE3654-TP-XS</t>
  </si>
  <si>
    <t>kolkata</t>
  </si>
  <si>
    <t>402-4774686-7773937</t>
  </si>
  <si>
    <t>JNE3652-TP-N-XL</t>
  </si>
  <si>
    <t>402-2860689-5652319</t>
  </si>
  <si>
    <t>J0339-DR-L</t>
  </si>
  <si>
    <t>406-6386989-1689108</t>
  </si>
  <si>
    <t>SET303-KR-NP-XL</t>
  </si>
  <si>
    <t>BARUIPUR</t>
  </si>
  <si>
    <t>408-9720884-9553122</t>
  </si>
  <si>
    <t>JNE3396-KR-XXXL</t>
  </si>
  <si>
    <t>KENDRAPARA</t>
  </si>
  <si>
    <t>408-8641795-6914711</t>
  </si>
  <si>
    <t>J0340-TP-XS</t>
  </si>
  <si>
    <t>402-9475978-1434754</t>
  </si>
  <si>
    <t>J0335-DR-S</t>
  </si>
  <si>
    <t>407-5776821-9327552</t>
  </si>
  <si>
    <t>J0008-SKD-L</t>
  </si>
  <si>
    <t>171-6845071-0336346</t>
  </si>
  <si>
    <t>SET268-KR-NP-XS</t>
  </si>
  <si>
    <t>NASHIK</t>
  </si>
  <si>
    <t>404-7491342-1035558</t>
  </si>
  <si>
    <t>J0280-SKD-S</t>
  </si>
  <si>
    <t>Order status</t>
  </si>
  <si>
    <t>Total Revenue</t>
  </si>
  <si>
    <t>Total Orders</t>
  </si>
  <si>
    <t>Total  Quantity sold</t>
  </si>
  <si>
    <t>Completed Orders</t>
  </si>
  <si>
    <t>Cancellation Rate</t>
  </si>
  <si>
    <t>Cancelled orders</t>
  </si>
  <si>
    <t>Average order value</t>
  </si>
  <si>
    <t>Row Labels</t>
  </si>
  <si>
    <t>Grand Total</t>
  </si>
  <si>
    <t>Sum of Amount</t>
  </si>
  <si>
    <t>Completed</t>
  </si>
  <si>
    <t>Count of Order ID</t>
  </si>
  <si>
    <t>(blank)</t>
  </si>
  <si>
    <t>Sum of Qty</t>
  </si>
  <si>
    <t>Consumer orders</t>
  </si>
  <si>
    <t>Business orders</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</si>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</sst>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numFmt numFmtId="0" formatCode="General"/>
    </dxf>
    <dxf>
      <numFmt numFmtId="19" formatCode="dd/mm/yyyy"/>
    </dxf>
    <dxf>
      <font>
        <color theme="0"/>
      </font>
      <fill>
        <patternFill>
          <bgColor rgb="FF081425"/>
        </patternFill>
      </fill>
    </dxf>
    <dxf>
      <font>
        <color theme="0"/>
      </font>
      <fill>
        <patternFill>
          <bgColor rgb="FF0D1B2A"/>
        </patternFill>
      </fill>
      <border>
        <bottom style="thin">
          <color theme="4"/>
        </bottom>
        <vertical/>
        <horizontal/>
      </border>
    </dxf>
    <dxf>
      <font>
        <color theme="1"/>
      </font>
      <fill>
        <patternFill>
          <bgColor rgb="FF081425"/>
        </patternFill>
      </fill>
      <border>
        <left style="thin">
          <color theme="4"/>
        </left>
        <right style="thin">
          <color theme="4"/>
        </right>
        <top style="thin">
          <color theme="4"/>
        </top>
        <bottom style="thin">
          <color theme="4"/>
        </bottom>
        <vertical/>
        <horizontal/>
      </border>
    </dxf>
    <dxf>
      <font>
        <color theme="0"/>
      </font>
      <fill>
        <patternFill>
          <bgColor rgb="FF081425"/>
        </patternFill>
      </fill>
    </dxf>
  </dxfs>
  <tableStyles count="5" defaultTableStyle="TableStyleMedium2" defaultPivotStyle="PivotStyleLight16">
    <tableStyle name="Slicer Style 1" pivot="0" table="0" count="1" xr9:uid="{56196EC0-FE24-440C-8DE3-60D11A7C4A76}">
      <tableStyleElement type="wholeTable" dxfId="5"/>
    </tableStyle>
    <tableStyle name="Slicer Style 2" pivot="0" table="0" count="0" xr9:uid="{92BBE63A-019B-437B-B2DC-80513EBD5137}"/>
    <tableStyle name="Slicer Style 3" pivot="0" table="0" count="0" xr9:uid="{1A3FC746-4E47-410D-88BA-1F3DDF7AECF3}"/>
    <tableStyle name="SlicerStyleDark1 2" pivot="0" table="0" count="10" xr9:uid="{B35B534C-9C5B-430C-B5C1-9955D74A0BA6}">
      <tableStyleElement type="wholeTable" dxfId="4"/>
      <tableStyleElement type="headerRow" dxfId="3"/>
    </tableStyle>
    <tableStyle name="Ss" pivot="0" table="0" count="1" xr9:uid="{75A66969-CE85-45D3-8E6E-B516E357BDBC}">
      <tableStyleElement type="wholeTable" dxfId="2"/>
    </tableStyle>
  </tableStyles>
  <colors>
    <mruColors>
      <color rgb="FF008CFF"/>
      <color rgb="FF081425"/>
      <color rgb="FF0D1B2A"/>
      <color rgb="FF050B16"/>
      <color rgb="FF000B16"/>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08CFF"/>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081425"/>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sales data cleaned.xlsx]Category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Category-wise sales analysis</a:t>
            </a:r>
            <a:r>
              <a:rPr lang="en-IN" baseline="0">
                <a:solidFill>
                  <a:schemeClr val="bg1"/>
                </a:solidFill>
              </a:rPr>
              <a:t>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analysis'!$C$5</c:f>
              <c:strCache>
                <c:ptCount val="1"/>
                <c:pt idx="0">
                  <c:v>Total</c:v>
                </c:pt>
              </c:strCache>
            </c:strRef>
          </c:tx>
          <c:spPr>
            <a:solidFill>
              <a:srgbClr val="008CFF"/>
            </a:solidFill>
            <a:ln>
              <a:noFill/>
            </a:ln>
            <a:effectLst/>
          </c:spPr>
          <c:invertIfNegative val="0"/>
          <c:cat>
            <c:strRef>
              <c:f>'Category analysis'!$B$6:$B$12</c:f>
              <c:strCache>
                <c:ptCount val="6"/>
                <c:pt idx="0">
                  <c:v>Set</c:v>
                </c:pt>
                <c:pt idx="1">
                  <c:v>kurta</c:v>
                </c:pt>
                <c:pt idx="2">
                  <c:v>Western Dress</c:v>
                </c:pt>
                <c:pt idx="3">
                  <c:v>Top</c:v>
                </c:pt>
                <c:pt idx="4">
                  <c:v>Ethnic Dress</c:v>
                </c:pt>
                <c:pt idx="5">
                  <c:v>Bottom</c:v>
                </c:pt>
              </c:strCache>
            </c:strRef>
          </c:cat>
          <c:val>
            <c:numRef>
              <c:f>'Category analysis'!$C$6:$C$12</c:f>
              <c:numCache>
                <c:formatCode>General</c:formatCode>
                <c:ptCount val="6"/>
                <c:pt idx="0">
                  <c:v>100277.60999999999</c:v>
                </c:pt>
                <c:pt idx="1">
                  <c:v>48460</c:v>
                </c:pt>
                <c:pt idx="2">
                  <c:v>18959.330000000002</c:v>
                </c:pt>
                <c:pt idx="3">
                  <c:v>11263.810000000001</c:v>
                </c:pt>
                <c:pt idx="4">
                  <c:v>1544</c:v>
                </c:pt>
                <c:pt idx="5">
                  <c:v>377</c:v>
                </c:pt>
              </c:numCache>
            </c:numRef>
          </c:val>
          <c:extLst>
            <c:ext xmlns:c16="http://schemas.microsoft.com/office/drawing/2014/chart" uri="{C3380CC4-5D6E-409C-BE32-E72D297353CC}">
              <c16:uniqueId val="{00000000-831B-42A1-A0FD-FD817AA4BB3B}"/>
            </c:ext>
          </c:extLst>
        </c:ser>
        <c:dLbls>
          <c:showLegendKey val="0"/>
          <c:showVal val="0"/>
          <c:showCatName val="0"/>
          <c:showSerName val="0"/>
          <c:showPercent val="0"/>
          <c:showBubbleSize val="0"/>
        </c:dLbls>
        <c:gapWidth val="182"/>
        <c:axId val="736728272"/>
        <c:axId val="736728752"/>
      </c:barChart>
      <c:catAx>
        <c:axId val="73672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6728752"/>
        <c:crosses val="autoZero"/>
        <c:auto val="1"/>
        <c:lblAlgn val="ctr"/>
        <c:lblOffset val="100"/>
        <c:noMultiLvlLbl val="0"/>
      </c:catAx>
      <c:valAx>
        <c:axId val="7367287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67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cleaned.xlsx]Status analysis!PivotTable1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Order</a:t>
            </a:r>
            <a:r>
              <a:rPr lang="en-US" baseline="0">
                <a:solidFill>
                  <a:schemeClr val="bg1"/>
                </a:solidFill>
              </a:rPr>
              <a: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8C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rgbClr val="008CFF"/>
          </a:solidFill>
          <a:ln w="19050">
            <a:solidFill>
              <a:schemeClr val="lt1"/>
            </a:solidFill>
          </a:ln>
          <a:effectLst/>
        </c:spPr>
      </c:pivotFmt>
    </c:pivotFmts>
    <c:plotArea>
      <c:layout/>
      <c:doughnutChart>
        <c:varyColors val="1"/>
        <c:ser>
          <c:idx val="0"/>
          <c:order val="0"/>
          <c:tx>
            <c:strRef>
              <c:f>'Status analysis'!$C$6</c:f>
              <c:strCache>
                <c:ptCount val="1"/>
                <c:pt idx="0">
                  <c:v>Total</c:v>
                </c:pt>
              </c:strCache>
            </c:strRef>
          </c:tx>
          <c:spPr>
            <a:solidFill>
              <a:srgbClr val="008CFF"/>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1DBF-4CDE-9D71-EE42E3710E1A}"/>
              </c:ext>
            </c:extLst>
          </c:dPt>
          <c:dPt>
            <c:idx val="1"/>
            <c:bubble3D val="0"/>
            <c:spPr>
              <a:solidFill>
                <a:srgbClr val="008CFF"/>
              </a:solidFill>
              <a:ln w="19050">
                <a:solidFill>
                  <a:schemeClr val="lt1"/>
                </a:solidFill>
              </a:ln>
              <a:effectLst/>
            </c:spPr>
            <c:extLst>
              <c:ext xmlns:c16="http://schemas.microsoft.com/office/drawing/2014/chart" uri="{C3380CC4-5D6E-409C-BE32-E72D297353CC}">
                <c16:uniqueId val="{00000003-1DBF-4CDE-9D71-EE42E3710E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analysis'!$B$7:$B$9</c:f>
              <c:strCache>
                <c:ptCount val="2"/>
                <c:pt idx="0">
                  <c:v>Cancelled</c:v>
                </c:pt>
                <c:pt idx="1">
                  <c:v>Completed</c:v>
                </c:pt>
              </c:strCache>
            </c:strRef>
          </c:cat>
          <c:val>
            <c:numRef>
              <c:f>'Status analysis'!$C$7:$C$9</c:f>
              <c:numCache>
                <c:formatCode>General</c:formatCode>
                <c:ptCount val="2"/>
                <c:pt idx="0">
                  <c:v>16</c:v>
                </c:pt>
                <c:pt idx="1">
                  <c:v>267</c:v>
                </c:pt>
              </c:numCache>
            </c:numRef>
          </c:val>
          <c:extLst>
            <c:ext xmlns:c16="http://schemas.microsoft.com/office/drawing/2014/chart" uri="{C3380CC4-5D6E-409C-BE32-E72D297353CC}">
              <c16:uniqueId val="{00000000-E2D8-44E0-8664-E53B93A65CE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cleaned.xlsx]state analysis!PivotTable3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state by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analysis'!$C$2</c:f>
              <c:strCache>
                <c:ptCount val="1"/>
                <c:pt idx="0">
                  <c:v>Total</c:v>
                </c:pt>
              </c:strCache>
            </c:strRef>
          </c:tx>
          <c:spPr>
            <a:solidFill>
              <a:srgbClr val="008CFF"/>
            </a:solidFill>
            <a:ln>
              <a:noFill/>
            </a:ln>
            <a:effectLst/>
          </c:spPr>
          <c:invertIfNegative val="0"/>
          <c:cat>
            <c:strRef>
              <c:f>'state analysis'!$B$3:$B$13</c:f>
              <c:strCache>
                <c:ptCount val="10"/>
                <c:pt idx="0">
                  <c:v>KARNATAKA</c:v>
                </c:pt>
                <c:pt idx="1">
                  <c:v>MAHARASHTRA</c:v>
                </c:pt>
                <c:pt idx="2">
                  <c:v>UTTAR PRADESH</c:v>
                </c:pt>
                <c:pt idx="3">
                  <c:v>TELANGANA</c:v>
                </c:pt>
                <c:pt idx="4">
                  <c:v>WEST BENGAL</c:v>
                </c:pt>
                <c:pt idx="5">
                  <c:v>TAMIL NADU</c:v>
                </c:pt>
                <c:pt idx="6">
                  <c:v>Gujarat</c:v>
                </c:pt>
                <c:pt idx="7">
                  <c:v>HARYANA</c:v>
                </c:pt>
                <c:pt idx="8">
                  <c:v>DELHI</c:v>
                </c:pt>
                <c:pt idx="9">
                  <c:v>BIHAR</c:v>
                </c:pt>
              </c:strCache>
            </c:strRef>
          </c:cat>
          <c:val>
            <c:numRef>
              <c:f>'state analysis'!$C$3:$C$13</c:f>
              <c:numCache>
                <c:formatCode>General</c:formatCode>
                <c:ptCount val="10"/>
                <c:pt idx="0">
                  <c:v>27149.35</c:v>
                </c:pt>
                <c:pt idx="1">
                  <c:v>26778.1</c:v>
                </c:pt>
                <c:pt idx="2">
                  <c:v>16707</c:v>
                </c:pt>
                <c:pt idx="3">
                  <c:v>14093</c:v>
                </c:pt>
                <c:pt idx="4">
                  <c:v>13361</c:v>
                </c:pt>
                <c:pt idx="5">
                  <c:v>11818</c:v>
                </c:pt>
                <c:pt idx="6">
                  <c:v>7275</c:v>
                </c:pt>
                <c:pt idx="7">
                  <c:v>6444.04</c:v>
                </c:pt>
                <c:pt idx="8">
                  <c:v>6428</c:v>
                </c:pt>
                <c:pt idx="9">
                  <c:v>6402</c:v>
                </c:pt>
              </c:numCache>
            </c:numRef>
          </c:val>
          <c:extLst>
            <c:ext xmlns:c16="http://schemas.microsoft.com/office/drawing/2014/chart" uri="{C3380CC4-5D6E-409C-BE32-E72D297353CC}">
              <c16:uniqueId val="{00000000-AD59-44BC-8311-F6CC4C49A1C2}"/>
            </c:ext>
          </c:extLst>
        </c:ser>
        <c:dLbls>
          <c:showLegendKey val="0"/>
          <c:showVal val="0"/>
          <c:showCatName val="0"/>
          <c:showSerName val="0"/>
          <c:showPercent val="0"/>
          <c:showBubbleSize val="0"/>
        </c:dLbls>
        <c:gapWidth val="219"/>
        <c:overlap val="-27"/>
        <c:axId val="653752160"/>
        <c:axId val="653752640"/>
      </c:barChart>
      <c:catAx>
        <c:axId val="65375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752640"/>
        <c:crosses val="autoZero"/>
        <c:auto val="1"/>
        <c:lblAlgn val="ctr"/>
        <c:lblOffset val="100"/>
        <c:noMultiLvlLbl val="0"/>
      </c:catAx>
      <c:valAx>
        <c:axId val="65375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75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cleaned.xlsx]Fulfillment_Analysis!PivotTable4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Fullfillment</a:t>
            </a:r>
            <a:r>
              <a:rPr lang="en-IN" baseline="0">
                <a:solidFill>
                  <a:schemeClr val="bg1"/>
                </a:solidFill>
              </a:rPr>
              <a:t> performance analysis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Fulfillment_Analysis!$C$2</c:f>
              <c:strCache>
                <c:ptCount val="1"/>
                <c:pt idx="0">
                  <c:v>Total</c:v>
                </c:pt>
              </c:strCache>
            </c:strRef>
          </c:tx>
          <c:spPr>
            <a:solidFill>
              <a:srgbClr val="008CFF"/>
            </a:solidFill>
            <a:ln>
              <a:noFill/>
            </a:ln>
            <a:effectLst/>
          </c:spPr>
          <c:invertIfNegative val="0"/>
          <c:cat>
            <c:strRef>
              <c:f>Fulfillment_Analysis!$B$3:$B$5</c:f>
              <c:strCache>
                <c:ptCount val="2"/>
                <c:pt idx="0">
                  <c:v>(blank)</c:v>
                </c:pt>
                <c:pt idx="1">
                  <c:v>Easy Ship</c:v>
                </c:pt>
              </c:strCache>
            </c:strRef>
          </c:cat>
          <c:val>
            <c:numRef>
              <c:f>Fulfillment_Analysis!$C$3:$C$5</c:f>
              <c:numCache>
                <c:formatCode>General</c:formatCode>
                <c:ptCount val="2"/>
                <c:pt idx="0">
                  <c:v>139811</c:v>
                </c:pt>
                <c:pt idx="1">
                  <c:v>41070.75</c:v>
                </c:pt>
              </c:numCache>
            </c:numRef>
          </c:val>
          <c:extLst>
            <c:ext xmlns:c16="http://schemas.microsoft.com/office/drawing/2014/chart" uri="{C3380CC4-5D6E-409C-BE32-E72D297353CC}">
              <c16:uniqueId val="{00000000-16C2-4680-A42A-4115477FC904}"/>
            </c:ext>
          </c:extLst>
        </c:ser>
        <c:dLbls>
          <c:showLegendKey val="0"/>
          <c:showVal val="0"/>
          <c:showCatName val="0"/>
          <c:showSerName val="0"/>
          <c:showPercent val="0"/>
          <c:showBubbleSize val="0"/>
        </c:dLbls>
        <c:gapWidth val="150"/>
        <c:axId val="653695040"/>
        <c:axId val="653710400"/>
      </c:barChart>
      <c:catAx>
        <c:axId val="653695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710400"/>
        <c:crosses val="autoZero"/>
        <c:auto val="1"/>
        <c:lblAlgn val="ctr"/>
        <c:lblOffset val="100"/>
        <c:noMultiLvlLbl val="0"/>
      </c:catAx>
      <c:valAx>
        <c:axId val="653710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69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cleaned.xlsx]size analysis!PivotTable5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Size</a:t>
            </a:r>
            <a:r>
              <a:rPr lang="en-IN" baseline="0">
                <a:solidFill>
                  <a:schemeClr val="bg1"/>
                </a:solidFill>
              </a:rPr>
              <a:t>-wise quantity sold</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'size analysis'!$C$3</c:f>
              <c:strCache>
                <c:ptCount val="1"/>
                <c:pt idx="0">
                  <c:v>Total</c:v>
                </c:pt>
              </c:strCache>
            </c:strRef>
          </c:tx>
          <c:spPr>
            <a:solidFill>
              <a:srgbClr val="008CFF"/>
            </a:solidFill>
            <a:ln>
              <a:noFill/>
            </a:ln>
            <a:effectLst/>
          </c:spPr>
          <c:invertIfNegative val="0"/>
          <c:cat>
            <c:strRef>
              <c:f>'size analysis'!$B$4:$B$14</c:f>
              <c:strCache>
                <c:ptCount val="10"/>
                <c:pt idx="0">
                  <c:v>M</c:v>
                </c:pt>
                <c:pt idx="1">
                  <c:v>S</c:v>
                </c:pt>
                <c:pt idx="2">
                  <c:v>XL</c:v>
                </c:pt>
                <c:pt idx="3">
                  <c:v>XXL</c:v>
                </c:pt>
                <c:pt idx="4">
                  <c:v>L</c:v>
                </c:pt>
                <c:pt idx="5">
                  <c:v>3XL</c:v>
                </c:pt>
                <c:pt idx="6">
                  <c:v>XS</c:v>
                </c:pt>
                <c:pt idx="7">
                  <c:v>6XL</c:v>
                </c:pt>
                <c:pt idx="8">
                  <c:v>4XL</c:v>
                </c:pt>
                <c:pt idx="9">
                  <c:v>5XL</c:v>
                </c:pt>
              </c:strCache>
            </c:strRef>
          </c:cat>
          <c:val>
            <c:numRef>
              <c:f>'size analysis'!$C$4:$C$14</c:f>
              <c:numCache>
                <c:formatCode>General</c:formatCode>
                <c:ptCount val="10"/>
                <c:pt idx="0">
                  <c:v>54</c:v>
                </c:pt>
                <c:pt idx="1">
                  <c:v>44</c:v>
                </c:pt>
                <c:pt idx="2">
                  <c:v>42</c:v>
                </c:pt>
                <c:pt idx="3">
                  <c:v>37</c:v>
                </c:pt>
                <c:pt idx="4">
                  <c:v>37</c:v>
                </c:pt>
                <c:pt idx="5">
                  <c:v>32</c:v>
                </c:pt>
                <c:pt idx="6">
                  <c:v>23</c:v>
                </c:pt>
                <c:pt idx="7">
                  <c:v>3</c:v>
                </c:pt>
                <c:pt idx="8">
                  <c:v>2</c:v>
                </c:pt>
                <c:pt idx="9">
                  <c:v>1</c:v>
                </c:pt>
              </c:numCache>
            </c:numRef>
          </c:val>
          <c:extLst>
            <c:ext xmlns:c16="http://schemas.microsoft.com/office/drawing/2014/chart" uri="{C3380CC4-5D6E-409C-BE32-E72D297353CC}">
              <c16:uniqueId val="{00000000-01CF-464F-85F1-AD5A82D95FDC}"/>
            </c:ext>
          </c:extLst>
        </c:ser>
        <c:dLbls>
          <c:showLegendKey val="0"/>
          <c:showVal val="0"/>
          <c:showCatName val="0"/>
          <c:showSerName val="0"/>
          <c:showPercent val="0"/>
          <c:showBubbleSize val="0"/>
        </c:dLbls>
        <c:gapWidth val="150"/>
        <c:axId val="653707040"/>
        <c:axId val="653696480"/>
      </c:barChart>
      <c:catAx>
        <c:axId val="65370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696480"/>
        <c:crosses val="autoZero"/>
        <c:auto val="1"/>
        <c:lblAlgn val="ctr"/>
        <c:lblOffset val="100"/>
        <c:noMultiLvlLbl val="0"/>
      </c:catAx>
      <c:valAx>
        <c:axId val="65369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70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cleaned.xlsx]Top products analysis!PivotTable6</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analysis'!$C$4</c:f>
              <c:strCache>
                <c:ptCount val="1"/>
                <c:pt idx="0">
                  <c:v>Total</c:v>
                </c:pt>
              </c:strCache>
            </c:strRef>
          </c:tx>
          <c:spPr>
            <a:solidFill>
              <a:srgbClr val="008CFF"/>
            </a:solidFill>
            <a:ln>
              <a:noFill/>
            </a:ln>
            <a:effectLst/>
          </c:spPr>
          <c:invertIfNegative val="0"/>
          <c:cat>
            <c:strRef>
              <c:f>'Top products analysis'!$B$5:$B$16</c:f>
              <c:strCache>
                <c:ptCount val="11"/>
                <c:pt idx="0">
                  <c:v>SET268-KR-NP-L</c:v>
                </c:pt>
                <c:pt idx="1">
                  <c:v>SET304-KR-DPT-XS</c:v>
                </c:pt>
                <c:pt idx="2">
                  <c:v>J0008-SKD-XXL</c:v>
                </c:pt>
                <c:pt idx="3">
                  <c:v>SET345-KR-NP-M</c:v>
                </c:pt>
                <c:pt idx="4">
                  <c:v>SET324-KR-NP-M</c:v>
                </c:pt>
                <c:pt idx="5">
                  <c:v>SET347-KR-NP-S</c:v>
                </c:pt>
                <c:pt idx="6">
                  <c:v>SET291-KR-PP-M</c:v>
                </c:pt>
                <c:pt idx="7">
                  <c:v>J0280-SKD-S</c:v>
                </c:pt>
                <c:pt idx="8">
                  <c:v>SET355-KR-PP-M</c:v>
                </c:pt>
                <c:pt idx="9">
                  <c:v>SET363-KR-NP-XXL</c:v>
                </c:pt>
                <c:pt idx="10">
                  <c:v>SET277-KR-NP-XXL</c:v>
                </c:pt>
              </c:strCache>
            </c:strRef>
          </c:cat>
          <c:val>
            <c:numRef>
              <c:f>'Top products analysis'!$C$5:$C$16</c:f>
              <c:numCache>
                <c:formatCode>General</c:formatCode>
                <c:ptCount val="11"/>
                <c:pt idx="0">
                  <c:v>2364</c:v>
                </c:pt>
                <c:pt idx="1">
                  <c:v>2230</c:v>
                </c:pt>
                <c:pt idx="2">
                  <c:v>2130</c:v>
                </c:pt>
                <c:pt idx="3">
                  <c:v>1918</c:v>
                </c:pt>
                <c:pt idx="4">
                  <c:v>1791</c:v>
                </c:pt>
                <c:pt idx="5">
                  <c:v>1704</c:v>
                </c:pt>
                <c:pt idx="6">
                  <c:v>1696.48</c:v>
                </c:pt>
                <c:pt idx="7">
                  <c:v>1463</c:v>
                </c:pt>
                <c:pt idx="8">
                  <c:v>1399</c:v>
                </c:pt>
                <c:pt idx="9">
                  <c:v>1338</c:v>
                </c:pt>
                <c:pt idx="10">
                  <c:v>1338</c:v>
                </c:pt>
              </c:numCache>
            </c:numRef>
          </c:val>
          <c:extLst>
            <c:ext xmlns:c16="http://schemas.microsoft.com/office/drawing/2014/chart" uri="{C3380CC4-5D6E-409C-BE32-E72D297353CC}">
              <c16:uniqueId val="{00000000-B7D1-459A-A88E-182254846ED1}"/>
            </c:ext>
          </c:extLst>
        </c:ser>
        <c:dLbls>
          <c:showLegendKey val="0"/>
          <c:showVal val="0"/>
          <c:showCatName val="0"/>
          <c:showSerName val="0"/>
          <c:showPercent val="0"/>
          <c:showBubbleSize val="0"/>
        </c:dLbls>
        <c:gapWidth val="182"/>
        <c:axId val="653697440"/>
        <c:axId val="653714240"/>
      </c:barChart>
      <c:catAx>
        <c:axId val="65369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714240"/>
        <c:crosses val="autoZero"/>
        <c:auto val="1"/>
        <c:lblAlgn val="ctr"/>
        <c:lblOffset val="100"/>
        <c:noMultiLvlLbl val="0"/>
      </c:catAx>
      <c:valAx>
        <c:axId val="653714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69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cleaned.xlsx]B2B analysis!PivotTable7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B2B</a:t>
            </a:r>
            <a:r>
              <a:rPr lang="en-IN" baseline="0">
                <a:solidFill>
                  <a:schemeClr val="bg1"/>
                </a:solidFill>
              </a:rPr>
              <a:t> vs consumer orders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CFF"/>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'B2B analysis'!$C$4</c:f>
              <c:strCache>
                <c:ptCount val="1"/>
                <c:pt idx="0">
                  <c:v>Total</c:v>
                </c:pt>
              </c:strCache>
            </c:strRef>
          </c:tx>
          <c:dPt>
            <c:idx val="0"/>
            <c:bubble3D val="0"/>
            <c:spPr>
              <a:solidFill>
                <a:srgbClr val="008CFF"/>
              </a:solidFill>
              <a:ln w="19050">
                <a:solidFill>
                  <a:schemeClr val="lt1"/>
                </a:solidFill>
              </a:ln>
              <a:effectLst/>
            </c:spPr>
            <c:extLst>
              <c:ext xmlns:c16="http://schemas.microsoft.com/office/drawing/2014/chart" uri="{C3380CC4-5D6E-409C-BE32-E72D297353CC}">
                <c16:uniqueId val="{00000001-6872-4675-A341-C7B27C8160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72-4675-A341-C7B27C816096}"/>
              </c:ext>
            </c:extLst>
          </c:dPt>
          <c:cat>
            <c:strRef>
              <c:f>'B2B analysis'!$B$5:$B$7</c:f>
              <c:strCache>
                <c:ptCount val="2"/>
                <c:pt idx="0">
                  <c:v>Consumer orders</c:v>
                </c:pt>
                <c:pt idx="1">
                  <c:v>Business orders</c:v>
                </c:pt>
              </c:strCache>
            </c:strRef>
          </c:cat>
          <c:val>
            <c:numRef>
              <c:f>'B2B analysis'!$C$5:$C$7</c:f>
              <c:numCache>
                <c:formatCode>General</c:formatCode>
                <c:ptCount val="2"/>
                <c:pt idx="0">
                  <c:v>281</c:v>
                </c:pt>
                <c:pt idx="1">
                  <c:v>2</c:v>
                </c:pt>
              </c:numCache>
            </c:numRef>
          </c:val>
          <c:extLst>
            <c:ext xmlns:c16="http://schemas.microsoft.com/office/drawing/2014/chart" uri="{C3380CC4-5D6E-409C-BE32-E72D297353CC}">
              <c16:uniqueId val="{00000000-9893-4461-92EE-8C70DD986C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cleaned.xlsx]Status analysis!PivotTable1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Order</a:t>
            </a:r>
            <a:r>
              <a:rPr lang="en-US" baseline="0">
                <a:solidFill>
                  <a:schemeClr val="bg1"/>
                </a:solidFill>
              </a:rPr>
              <a: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8C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rgbClr val="008CFF"/>
          </a:solidFill>
          <a:ln w="19050">
            <a:solidFill>
              <a:schemeClr val="lt1"/>
            </a:solidFill>
          </a:ln>
          <a:effectLst/>
        </c:spPr>
      </c:pivotFmt>
      <c:pivotFmt>
        <c:idx val="3"/>
        <c:spPr>
          <a:solidFill>
            <a:srgbClr val="008C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19050">
            <a:solidFill>
              <a:schemeClr val="lt1"/>
            </a:solidFill>
          </a:ln>
          <a:effectLst/>
        </c:spPr>
      </c:pivotFmt>
      <c:pivotFmt>
        <c:idx val="5"/>
        <c:spPr>
          <a:solidFill>
            <a:srgbClr val="008CFF"/>
          </a:solidFill>
          <a:ln w="19050">
            <a:solidFill>
              <a:schemeClr val="lt1"/>
            </a:solidFill>
          </a:ln>
          <a:effectLst/>
        </c:spPr>
      </c:pivotFmt>
      <c:pivotFmt>
        <c:idx val="6"/>
        <c:spPr>
          <a:solidFill>
            <a:srgbClr val="008C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pivotFmt>
      <c:pivotFmt>
        <c:idx val="8"/>
        <c:spPr>
          <a:solidFill>
            <a:srgbClr val="008CFF"/>
          </a:solidFill>
          <a:ln w="19050">
            <a:solidFill>
              <a:schemeClr val="lt1"/>
            </a:solidFill>
          </a:ln>
          <a:effectLst/>
        </c:spPr>
      </c:pivotFmt>
    </c:pivotFmts>
    <c:plotArea>
      <c:layout/>
      <c:doughnutChart>
        <c:varyColors val="1"/>
        <c:ser>
          <c:idx val="0"/>
          <c:order val="0"/>
          <c:tx>
            <c:strRef>
              <c:f>'Status analysis'!$C$6</c:f>
              <c:strCache>
                <c:ptCount val="1"/>
                <c:pt idx="0">
                  <c:v>Total</c:v>
                </c:pt>
              </c:strCache>
            </c:strRef>
          </c:tx>
          <c:spPr>
            <a:solidFill>
              <a:srgbClr val="008CFF"/>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A6BD-466E-A473-6620C18F1765}"/>
              </c:ext>
            </c:extLst>
          </c:dPt>
          <c:dPt>
            <c:idx val="1"/>
            <c:bubble3D val="0"/>
            <c:spPr>
              <a:solidFill>
                <a:srgbClr val="008CFF"/>
              </a:solidFill>
              <a:ln w="19050">
                <a:solidFill>
                  <a:schemeClr val="lt1"/>
                </a:solidFill>
              </a:ln>
              <a:effectLst/>
            </c:spPr>
            <c:extLst>
              <c:ext xmlns:c16="http://schemas.microsoft.com/office/drawing/2014/chart" uri="{C3380CC4-5D6E-409C-BE32-E72D297353CC}">
                <c16:uniqueId val="{00000003-A6BD-466E-A473-6620C18F17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analysis'!$B$7:$B$9</c:f>
              <c:strCache>
                <c:ptCount val="2"/>
                <c:pt idx="0">
                  <c:v>Cancelled</c:v>
                </c:pt>
                <c:pt idx="1">
                  <c:v>Completed</c:v>
                </c:pt>
              </c:strCache>
            </c:strRef>
          </c:cat>
          <c:val>
            <c:numRef>
              <c:f>'Status analysis'!$C$7:$C$9</c:f>
              <c:numCache>
                <c:formatCode>General</c:formatCode>
                <c:ptCount val="2"/>
                <c:pt idx="0">
                  <c:v>16</c:v>
                </c:pt>
                <c:pt idx="1">
                  <c:v>267</c:v>
                </c:pt>
              </c:numCache>
            </c:numRef>
          </c:val>
          <c:extLst>
            <c:ext xmlns:c16="http://schemas.microsoft.com/office/drawing/2014/chart" uri="{C3380CC4-5D6E-409C-BE32-E72D297353CC}">
              <c16:uniqueId val="{00000004-A6BD-466E-A473-6620C18F176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cleaned.xlsx]size analysis!PivotTable5</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Size</a:t>
            </a:r>
            <a:r>
              <a:rPr lang="en-IN" baseline="0">
                <a:solidFill>
                  <a:schemeClr val="bg1"/>
                </a:solidFill>
              </a:rPr>
              <a:t>-wise quantity sold</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008CFF"/>
          </a:solidFill>
          <a:ln>
            <a:noFill/>
          </a:ln>
          <a:effectLst/>
        </c:spPr>
        <c:marker>
          <c:symbol val="none"/>
        </c:marker>
      </c:pivotFmt>
      <c:pivotFmt>
        <c:idx val="1"/>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'size analysis'!$C$3</c:f>
              <c:strCache>
                <c:ptCount val="1"/>
                <c:pt idx="0">
                  <c:v>Total</c:v>
                </c:pt>
              </c:strCache>
            </c:strRef>
          </c:tx>
          <c:spPr>
            <a:solidFill>
              <a:srgbClr val="008CFF"/>
            </a:solidFill>
            <a:ln>
              <a:noFill/>
            </a:ln>
            <a:effectLst/>
          </c:spPr>
          <c:invertIfNegative val="0"/>
          <c:cat>
            <c:strRef>
              <c:f>'size analysis'!$B$4:$B$14</c:f>
              <c:strCache>
                <c:ptCount val="10"/>
                <c:pt idx="0">
                  <c:v>M</c:v>
                </c:pt>
                <c:pt idx="1">
                  <c:v>S</c:v>
                </c:pt>
                <c:pt idx="2">
                  <c:v>XL</c:v>
                </c:pt>
                <c:pt idx="3">
                  <c:v>XXL</c:v>
                </c:pt>
                <c:pt idx="4">
                  <c:v>L</c:v>
                </c:pt>
                <c:pt idx="5">
                  <c:v>3XL</c:v>
                </c:pt>
                <c:pt idx="6">
                  <c:v>XS</c:v>
                </c:pt>
                <c:pt idx="7">
                  <c:v>6XL</c:v>
                </c:pt>
                <c:pt idx="8">
                  <c:v>4XL</c:v>
                </c:pt>
                <c:pt idx="9">
                  <c:v>5XL</c:v>
                </c:pt>
              </c:strCache>
            </c:strRef>
          </c:cat>
          <c:val>
            <c:numRef>
              <c:f>'size analysis'!$C$4:$C$14</c:f>
              <c:numCache>
                <c:formatCode>General</c:formatCode>
                <c:ptCount val="10"/>
                <c:pt idx="0">
                  <c:v>54</c:v>
                </c:pt>
                <c:pt idx="1">
                  <c:v>44</c:v>
                </c:pt>
                <c:pt idx="2">
                  <c:v>42</c:v>
                </c:pt>
                <c:pt idx="3">
                  <c:v>37</c:v>
                </c:pt>
                <c:pt idx="4">
                  <c:v>37</c:v>
                </c:pt>
                <c:pt idx="5">
                  <c:v>32</c:v>
                </c:pt>
                <c:pt idx="6">
                  <c:v>23</c:v>
                </c:pt>
                <c:pt idx="7">
                  <c:v>3</c:v>
                </c:pt>
                <c:pt idx="8">
                  <c:v>2</c:v>
                </c:pt>
                <c:pt idx="9">
                  <c:v>1</c:v>
                </c:pt>
              </c:numCache>
            </c:numRef>
          </c:val>
          <c:extLst>
            <c:ext xmlns:c16="http://schemas.microsoft.com/office/drawing/2014/chart" uri="{C3380CC4-5D6E-409C-BE32-E72D297353CC}">
              <c16:uniqueId val="{00000000-E1A9-4F55-8A99-2ACF3AD89CE7}"/>
            </c:ext>
          </c:extLst>
        </c:ser>
        <c:dLbls>
          <c:showLegendKey val="0"/>
          <c:showVal val="0"/>
          <c:showCatName val="0"/>
          <c:showSerName val="0"/>
          <c:showPercent val="0"/>
          <c:showBubbleSize val="0"/>
        </c:dLbls>
        <c:gapWidth val="150"/>
        <c:axId val="653707040"/>
        <c:axId val="653696480"/>
      </c:barChart>
      <c:catAx>
        <c:axId val="65370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696480"/>
        <c:crosses val="autoZero"/>
        <c:auto val="1"/>
        <c:lblAlgn val="ctr"/>
        <c:lblOffset val="100"/>
        <c:noMultiLvlLbl val="0"/>
      </c:catAx>
      <c:valAx>
        <c:axId val="65369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70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cleaned.xlsx]Top products analysis!PivotTable6</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analysis'!$C$4</c:f>
              <c:strCache>
                <c:ptCount val="1"/>
                <c:pt idx="0">
                  <c:v>Total</c:v>
                </c:pt>
              </c:strCache>
            </c:strRef>
          </c:tx>
          <c:spPr>
            <a:solidFill>
              <a:srgbClr val="008CFF"/>
            </a:solidFill>
            <a:ln>
              <a:noFill/>
            </a:ln>
            <a:effectLst/>
          </c:spPr>
          <c:invertIfNegative val="0"/>
          <c:cat>
            <c:strRef>
              <c:f>'Top products analysis'!$B$5:$B$16</c:f>
              <c:strCache>
                <c:ptCount val="11"/>
                <c:pt idx="0">
                  <c:v>SET268-KR-NP-L</c:v>
                </c:pt>
                <c:pt idx="1">
                  <c:v>SET304-KR-DPT-XS</c:v>
                </c:pt>
                <c:pt idx="2">
                  <c:v>J0008-SKD-XXL</c:v>
                </c:pt>
                <c:pt idx="3">
                  <c:v>SET345-KR-NP-M</c:v>
                </c:pt>
                <c:pt idx="4">
                  <c:v>SET324-KR-NP-M</c:v>
                </c:pt>
                <c:pt idx="5">
                  <c:v>SET347-KR-NP-S</c:v>
                </c:pt>
                <c:pt idx="6">
                  <c:v>SET291-KR-PP-M</c:v>
                </c:pt>
                <c:pt idx="7">
                  <c:v>J0280-SKD-S</c:v>
                </c:pt>
                <c:pt idx="8">
                  <c:v>SET355-KR-PP-M</c:v>
                </c:pt>
                <c:pt idx="9">
                  <c:v>SET363-KR-NP-XXL</c:v>
                </c:pt>
                <c:pt idx="10">
                  <c:v>SET277-KR-NP-XXL</c:v>
                </c:pt>
              </c:strCache>
            </c:strRef>
          </c:cat>
          <c:val>
            <c:numRef>
              <c:f>'Top products analysis'!$C$5:$C$16</c:f>
              <c:numCache>
                <c:formatCode>General</c:formatCode>
                <c:ptCount val="11"/>
                <c:pt idx="0">
                  <c:v>2364</c:v>
                </c:pt>
                <c:pt idx="1">
                  <c:v>2230</c:v>
                </c:pt>
                <c:pt idx="2">
                  <c:v>2130</c:v>
                </c:pt>
                <c:pt idx="3">
                  <c:v>1918</c:v>
                </c:pt>
                <c:pt idx="4">
                  <c:v>1791</c:v>
                </c:pt>
                <c:pt idx="5">
                  <c:v>1704</c:v>
                </c:pt>
                <c:pt idx="6">
                  <c:v>1696.48</c:v>
                </c:pt>
                <c:pt idx="7">
                  <c:v>1463</c:v>
                </c:pt>
                <c:pt idx="8">
                  <c:v>1399</c:v>
                </c:pt>
                <c:pt idx="9">
                  <c:v>1338</c:v>
                </c:pt>
                <c:pt idx="10">
                  <c:v>1338</c:v>
                </c:pt>
              </c:numCache>
            </c:numRef>
          </c:val>
          <c:extLst>
            <c:ext xmlns:c16="http://schemas.microsoft.com/office/drawing/2014/chart" uri="{C3380CC4-5D6E-409C-BE32-E72D297353CC}">
              <c16:uniqueId val="{00000000-BC2D-4690-8160-6B4805FF4C59}"/>
            </c:ext>
          </c:extLst>
        </c:ser>
        <c:dLbls>
          <c:showLegendKey val="0"/>
          <c:showVal val="0"/>
          <c:showCatName val="0"/>
          <c:showSerName val="0"/>
          <c:showPercent val="0"/>
          <c:showBubbleSize val="0"/>
        </c:dLbls>
        <c:gapWidth val="182"/>
        <c:axId val="653697440"/>
        <c:axId val="653714240"/>
      </c:barChart>
      <c:catAx>
        <c:axId val="65369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714240"/>
        <c:crosses val="autoZero"/>
        <c:auto val="1"/>
        <c:lblAlgn val="ctr"/>
        <c:lblOffset val="100"/>
        <c:noMultiLvlLbl val="0"/>
      </c:catAx>
      <c:valAx>
        <c:axId val="653714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69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cleaned.xlsx]B2B analysis!PivotTable7</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B2B</a:t>
            </a:r>
            <a:r>
              <a:rPr lang="en-IN" baseline="0">
                <a:solidFill>
                  <a:schemeClr val="bg1"/>
                </a:solidFill>
              </a:rPr>
              <a:t> vs consumer orders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CFF"/>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8CFF"/>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8CFF"/>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'B2B analysis'!$C$4</c:f>
              <c:strCache>
                <c:ptCount val="1"/>
                <c:pt idx="0">
                  <c:v>Total</c:v>
                </c:pt>
              </c:strCache>
            </c:strRef>
          </c:tx>
          <c:dPt>
            <c:idx val="0"/>
            <c:bubble3D val="0"/>
            <c:spPr>
              <a:solidFill>
                <a:srgbClr val="008CFF"/>
              </a:solidFill>
              <a:ln w="19050">
                <a:solidFill>
                  <a:schemeClr val="lt1"/>
                </a:solidFill>
              </a:ln>
              <a:effectLst/>
            </c:spPr>
            <c:extLst>
              <c:ext xmlns:c16="http://schemas.microsoft.com/office/drawing/2014/chart" uri="{C3380CC4-5D6E-409C-BE32-E72D297353CC}">
                <c16:uniqueId val="{00000001-8D4E-4130-B6D0-EBE24EBBAC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4E-4130-B6D0-EBE24EBBACAA}"/>
              </c:ext>
            </c:extLst>
          </c:dPt>
          <c:cat>
            <c:strRef>
              <c:f>'B2B analysis'!$B$5:$B$7</c:f>
              <c:strCache>
                <c:ptCount val="2"/>
                <c:pt idx="0">
                  <c:v>Consumer orders</c:v>
                </c:pt>
                <c:pt idx="1">
                  <c:v>Business orders</c:v>
                </c:pt>
              </c:strCache>
            </c:strRef>
          </c:cat>
          <c:val>
            <c:numRef>
              <c:f>'B2B analysis'!$C$5:$C$7</c:f>
              <c:numCache>
                <c:formatCode>General</c:formatCode>
                <c:ptCount val="2"/>
                <c:pt idx="0">
                  <c:v>281</c:v>
                </c:pt>
                <c:pt idx="1">
                  <c:v>2</c:v>
                </c:pt>
              </c:numCache>
            </c:numRef>
          </c:val>
          <c:extLst>
            <c:ext xmlns:c16="http://schemas.microsoft.com/office/drawing/2014/chart" uri="{C3380CC4-5D6E-409C-BE32-E72D297353CC}">
              <c16:uniqueId val="{00000004-8D4E-4130-B6D0-EBE24EBBAC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sales data cleaned.xlsx]Category analysis!PivotTable1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Category-wise sales analysis</a:t>
            </a:r>
            <a:r>
              <a:rPr lang="en-IN" baseline="0">
                <a:solidFill>
                  <a:schemeClr val="bg1"/>
                </a:solidFill>
              </a:rPr>
              <a:t> </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analysis'!$C$5</c:f>
              <c:strCache>
                <c:ptCount val="1"/>
                <c:pt idx="0">
                  <c:v>Total</c:v>
                </c:pt>
              </c:strCache>
            </c:strRef>
          </c:tx>
          <c:spPr>
            <a:solidFill>
              <a:srgbClr val="008CFF"/>
            </a:solidFill>
            <a:ln>
              <a:noFill/>
            </a:ln>
            <a:effectLst/>
          </c:spPr>
          <c:invertIfNegative val="0"/>
          <c:cat>
            <c:strRef>
              <c:f>'Category analysis'!$B$6:$B$12</c:f>
              <c:strCache>
                <c:ptCount val="6"/>
                <c:pt idx="0">
                  <c:v>Set</c:v>
                </c:pt>
                <c:pt idx="1">
                  <c:v>kurta</c:v>
                </c:pt>
                <c:pt idx="2">
                  <c:v>Western Dress</c:v>
                </c:pt>
                <c:pt idx="3">
                  <c:v>Top</c:v>
                </c:pt>
                <c:pt idx="4">
                  <c:v>Ethnic Dress</c:v>
                </c:pt>
                <c:pt idx="5">
                  <c:v>Bottom</c:v>
                </c:pt>
              </c:strCache>
            </c:strRef>
          </c:cat>
          <c:val>
            <c:numRef>
              <c:f>'Category analysis'!$C$6:$C$12</c:f>
              <c:numCache>
                <c:formatCode>General</c:formatCode>
                <c:ptCount val="6"/>
                <c:pt idx="0">
                  <c:v>100277.60999999999</c:v>
                </c:pt>
                <c:pt idx="1">
                  <c:v>48460</c:v>
                </c:pt>
                <c:pt idx="2">
                  <c:v>18959.330000000002</c:v>
                </c:pt>
                <c:pt idx="3">
                  <c:v>11263.810000000001</c:v>
                </c:pt>
                <c:pt idx="4">
                  <c:v>1544</c:v>
                </c:pt>
                <c:pt idx="5">
                  <c:v>377</c:v>
                </c:pt>
              </c:numCache>
            </c:numRef>
          </c:val>
          <c:extLst>
            <c:ext xmlns:c16="http://schemas.microsoft.com/office/drawing/2014/chart" uri="{C3380CC4-5D6E-409C-BE32-E72D297353CC}">
              <c16:uniqueId val="{00000000-76A5-48A8-A27C-03F39048651B}"/>
            </c:ext>
          </c:extLst>
        </c:ser>
        <c:dLbls>
          <c:showLegendKey val="0"/>
          <c:showVal val="0"/>
          <c:showCatName val="0"/>
          <c:showSerName val="0"/>
          <c:showPercent val="0"/>
          <c:showBubbleSize val="0"/>
        </c:dLbls>
        <c:gapWidth val="182"/>
        <c:axId val="736728272"/>
        <c:axId val="736728752"/>
      </c:barChart>
      <c:catAx>
        <c:axId val="73672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6728752"/>
        <c:crosses val="autoZero"/>
        <c:auto val="1"/>
        <c:lblAlgn val="ctr"/>
        <c:lblOffset val="100"/>
        <c:noMultiLvlLbl val="0"/>
      </c:catAx>
      <c:valAx>
        <c:axId val="7367287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67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cleaned.xlsx]state analysis!PivotTable3</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state by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008CFF"/>
          </a:solidFill>
          <a:ln>
            <a:noFill/>
          </a:ln>
          <a:effectLst/>
        </c:spPr>
        <c:marker>
          <c:symbol val="none"/>
        </c:marker>
      </c:pivotFmt>
      <c:pivotFmt>
        <c:idx val="1"/>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analysis'!$C$2</c:f>
              <c:strCache>
                <c:ptCount val="1"/>
                <c:pt idx="0">
                  <c:v>Total</c:v>
                </c:pt>
              </c:strCache>
            </c:strRef>
          </c:tx>
          <c:spPr>
            <a:solidFill>
              <a:srgbClr val="008CFF"/>
            </a:solidFill>
            <a:ln>
              <a:noFill/>
            </a:ln>
            <a:effectLst/>
          </c:spPr>
          <c:invertIfNegative val="0"/>
          <c:cat>
            <c:strRef>
              <c:f>'state analysis'!$B$3:$B$13</c:f>
              <c:strCache>
                <c:ptCount val="10"/>
                <c:pt idx="0">
                  <c:v>KARNATAKA</c:v>
                </c:pt>
                <c:pt idx="1">
                  <c:v>MAHARASHTRA</c:v>
                </c:pt>
                <c:pt idx="2">
                  <c:v>UTTAR PRADESH</c:v>
                </c:pt>
                <c:pt idx="3">
                  <c:v>TELANGANA</c:v>
                </c:pt>
                <c:pt idx="4">
                  <c:v>WEST BENGAL</c:v>
                </c:pt>
                <c:pt idx="5">
                  <c:v>TAMIL NADU</c:v>
                </c:pt>
                <c:pt idx="6">
                  <c:v>Gujarat</c:v>
                </c:pt>
                <c:pt idx="7">
                  <c:v>HARYANA</c:v>
                </c:pt>
                <c:pt idx="8">
                  <c:v>DELHI</c:v>
                </c:pt>
                <c:pt idx="9">
                  <c:v>BIHAR</c:v>
                </c:pt>
              </c:strCache>
            </c:strRef>
          </c:cat>
          <c:val>
            <c:numRef>
              <c:f>'state analysis'!$C$3:$C$13</c:f>
              <c:numCache>
                <c:formatCode>General</c:formatCode>
                <c:ptCount val="10"/>
                <c:pt idx="0">
                  <c:v>27149.35</c:v>
                </c:pt>
                <c:pt idx="1">
                  <c:v>26778.1</c:v>
                </c:pt>
                <c:pt idx="2">
                  <c:v>16707</c:v>
                </c:pt>
                <c:pt idx="3">
                  <c:v>14093</c:v>
                </c:pt>
                <c:pt idx="4">
                  <c:v>13361</c:v>
                </c:pt>
                <c:pt idx="5">
                  <c:v>11818</c:v>
                </c:pt>
                <c:pt idx="6">
                  <c:v>7275</c:v>
                </c:pt>
                <c:pt idx="7">
                  <c:v>6444.04</c:v>
                </c:pt>
                <c:pt idx="8">
                  <c:v>6428</c:v>
                </c:pt>
                <c:pt idx="9">
                  <c:v>6402</c:v>
                </c:pt>
              </c:numCache>
            </c:numRef>
          </c:val>
          <c:extLst>
            <c:ext xmlns:c16="http://schemas.microsoft.com/office/drawing/2014/chart" uri="{C3380CC4-5D6E-409C-BE32-E72D297353CC}">
              <c16:uniqueId val="{00000000-35FB-4871-9B7A-DE327B4300F8}"/>
            </c:ext>
          </c:extLst>
        </c:ser>
        <c:dLbls>
          <c:showLegendKey val="0"/>
          <c:showVal val="0"/>
          <c:showCatName val="0"/>
          <c:showSerName val="0"/>
          <c:showPercent val="0"/>
          <c:showBubbleSize val="0"/>
        </c:dLbls>
        <c:gapWidth val="219"/>
        <c:overlap val="-27"/>
        <c:axId val="653752160"/>
        <c:axId val="653752640"/>
      </c:barChart>
      <c:catAx>
        <c:axId val="653752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752640"/>
        <c:crosses val="autoZero"/>
        <c:auto val="1"/>
        <c:lblAlgn val="ctr"/>
        <c:lblOffset val="100"/>
        <c:noMultiLvlLbl val="0"/>
      </c:catAx>
      <c:valAx>
        <c:axId val="65375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75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cleaned.xlsx]Fulfillment_Analysis!PivotTable4</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Fullfillment</a:t>
            </a:r>
            <a:r>
              <a:rPr lang="en-IN" baseline="0">
                <a:solidFill>
                  <a:schemeClr val="bg1"/>
                </a:solidFill>
              </a:rPr>
              <a:t> performance analysis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Fulfillment_Analysis!$C$2</c:f>
              <c:strCache>
                <c:ptCount val="1"/>
                <c:pt idx="0">
                  <c:v>Total</c:v>
                </c:pt>
              </c:strCache>
            </c:strRef>
          </c:tx>
          <c:spPr>
            <a:solidFill>
              <a:srgbClr val="008CFF"/>
            </a:solidFill>
            <a:ln>
              <a:noFill/>
            </a:ln>
            <a:effectLst/>
          </c:spPr>
          <c:invertIfNegative val="0"/>
          <c:cat>
            <c:strRef>
              <c:f>Fulfillment_Analysis!$B$3:$B$5</c:f>
              <c:strCache>
                <c:ptCount val="2"/>
                <c:pt idx="0">
                  <c:v>(blank)</c:v>
                </c:pt>
                <c:pt idx="1">
                  <c:v>Easy Ship</c:v>
                </c:pt>
              </c:strCache>
            </c:strRef>
          </c:cat>
          <c:val>
            <c:numRef>
              <c:f>Fulfillment_Analysis!$C$3:$C$5</c:f>
              <c:numCache>
                <c:formatCode>General</c:formatCode>
                <c:ptCount val="2"/>
                <c:pt idx="0">
                  <c:v>139811</c:v>
                </c:pt>
                <c:pt idx="1">
                  <c:v>41070.75</c:v>
                </c:pt>
              </c:numCache>
            </c:numRef>
          </c:val>
          <c:extLst>
            <c:ext xmlns:c16="http://schemas.microsoft.com/office/drawing/2014/chart" uri="{C3380CC4-5D6E-409C-BE32-E72D297353CC}">
              <c16:uniqueId val="{00000000-1737-48C4-951D-82597187FC05}"/>
            </c:ext>
          </c:extLst>
        </c:ser>
        <c:dLbls>
          <c:showLegendKey val="0"/>
          <c:showVal val="0"/>
          <c:showCatName val="0"/>
          <c:showSerName val="0"/>
          <c:showPercent val="0"/>
          <c:showBubbleSize val="0"/>
        </c:dLbls>
        <c:gapWidth val="150"/>
        <c:axId val="653695040"/>
        <c:axId val="653710400"/>
      </c:barChart>
      <c:catAx>
        <c:axId val="653695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710400"/>
        <c:crosses val="autoZero"/>
        <c:auto val="1"/>
        <c:lblAlgn val="ctr"/>
        <c:lblOffset val="100"/>
        <c:noMultiLvlLbl val="0"/>
      </c:catAx>
      <c:valAx>
        <c:axId val="653710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69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8142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3" Type="http://schemas.openxmlformats.org/officeDocument/2006/relationships/image" Target="../media/image15.png"/><Relationship Id="rId18" Type="http://schemas.openxmlformats.org/officeDocument/2006/relationships/image" Target="../media/image20.svg"/><Relationship Id="rId26" Type="http://schemas.openxmlformats.org/officeDocument/2006/relationships/chart" Target="../charts/chart13.xml"/><Relationship Id="rId3" Type="http://schemas.openxmlformats.org/officeDocument/2006/relationships/image" Target="../media/image3.png"/><Relationship Id="rId21" Type="http://schemas.openxmlformats.org/officeDocument/2006/relationships/image" Target="../media/image23.png"/><Relationship Id="rId7" Type="http://schemas.openxmlformats.org/officeDocument/2006/relationships/chart" Target="../charts/chart8.xml"/><Relationship Id="rId12" Type="http://schemas.openxmlformats.org/officeDocument/2006/relationships/image" Target="../media/image14.svg"/><Relationship Id="rId17" Type="http://schemas.openxmlformats.org/officeDocument/2006/relationships/image" Target="../media/image19.png"/><Relationship Id="rId25" Type="http://schemas.openxmlformats.org/officeDocument/2006/relationships/image" Target="../media/image26.svg"/><Relationship Id="rId33" Type="http://schemas.openxmlformats.org/officeDocument/2006/relationships/image" Target="../media/image32.svg"/><Relationship Id="rId2" Type="http://schemas.openxmlformats.org/officeDocument/2006/relationships/image" Target="../media/image2.svg"/><Relationship Id="rId16" Type="http://schemas.openxmlformats.org/officeDocument/2006/relationships/image" Target="../media/image18.svg"/><Relationship Id="rId20" Type="http://schemas.openxmlformats.org/officeDocument/2006/relationships/image" Target="../media/image22.sv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3.png"/><Relationship Id="rId24" Type="http://schemas.openxmlformats.org/officeDocument/2006/relationships/image" Target="../media/image25.png"/><Relationship Id="rId32" Type="http://schemas.openxmlformats.org/officeDocument/2006/relationships/image" Target="../media/image31.png"/><Relationship Id="rId5" Type="http://schemas.openxmlformats.org/officeDocument/2006/relationships/image" Target="../media/image5.png"/><Relationship Id="rId15" Type="http://schemas.openxmlformats.org/officeDocument/2006/relationships/image" Target="../media/image17.png"/><Relationship Id="rId23" Type="http://schemas.openxmlformats.org/officeDocument/2006/relationships/chart" Target="../charts/chart12.xml"/><Relationship Id="rId28" Type="http://schemas.openxmlformats.org/officeDocument/2006/relationships/image" Target="../media/image28.svg"/><Relationship Id="rId10" Type="http://schemas.openxmlformats.org/officeDocument/2006/relationships/chart" Target="../charts/chart11.xml"/><Relationship Id="rId19" Type="http://schemas.openxmlformats.org/officeDocument/2006/relationships/image" Target="../media/image21.png"/><Relationship Id="rId31" Type="http://schemas.openxmlformats.org/officeDocument/2006/relationships/chart" Target="../charts/chart14.xml"/><Relationship Id="rId4" Type="http://schemas.openxmlformats.org/officeDocument/2006/relationships/image" Target="../media/image4.svg"/><Relationship Id="rId9" Type="http://schemas.openxmlformats.org/officeDocument/2006/relationships/chart" Target="../charts/chart10.xml"/><Relationship Id="rId14" Type="http://schemas.openxmlformats.org/officeDocument/2006/relationships/image" Target="../media/image16.svg"/><Relationship Id="rId22" Type="http://schemas.openxmlformats.org/officeDocument/2006/relationships/image" Target="../media/image24.svg"/><Relationship Id="rId27" Type="http://schemas.openxmlformats.org/officeDocument/2006/relationships/image" Target="../media/image27.png"/><Relationship Id="rId30" Type="http://schemas.openxmlformats.org/officeDocument/2006/relationships/image" Target="../media/image30.svg"/><Relationship Id="rId8" Type="http://schemas.openxmlformats.org/officeDocument/2006/relationships/chart" Target="../charts/chart9.xml"/></Relationships>
</file>

<file path=xl/drawings/_rels/drawing9.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4</xdr:col>
      <xdr:colOff>106680</xdr:colOff>
      <xdr:row>6</xdr:row>
      <xdr:rowOff>41910</xdr:rowOff>
    </xdr:from>
    <xdr:to>
      <xdr:col>11</xdr:col>
      <xdr:colOff>411480</xdr:colOff>
      <xdr:row>21</xdr:row>
      <xdr:rowOff>41910</xdr:rowOff>
    </xdr:to>
    <xdr:graphicFrame macro="">
      <xdr:nvGraphicFramePr>
        <xdr:cNvPr id="2" name="Chart 1">
          <a:extLst>
            <a:ext uri="{FF2B5EF4-FFF2-40B4-BE49-F238E27FC236}">
              <a16:creationId xmlns:a16="http://schemas.microsoft.com/office/drawing/2014/main" id="{87C43743-B755-9388-1B23-2918BF6AC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6</xdr:row>
      <xdr:rowOff>41910</xdr:rowOff>
    </xdr:from>
    <xdr:to>
      <xdr:col>11</xdr:col>
      <xdr:colOff>327660</xdr:colOff>
      <xdr:row>21</xdr:row>
      <xdr:rowOff>41910</xdr:rowOff>
    </xdr:to>
    <xdr:graphicFrame macro="">
      <xdr:nvGraphicFramePr>
        <xdr:cNvPr id="2" name="Chart 1">
          <a:extLst>
            <a:ext uri="{FF2B5EF4-FFF2-40B4-BE49-F238E27FC236}">
              <a16:creationId xmlns:a16="http://schemas.microsoft.com/office/drawing/2014/main" id="{56A90F37-3886-A1B6-BB08-96CE0BCEC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xdr:colOff>
      <xdr:row>5</xdr:row>
      <xdr:rowOff>95250</xdr:rowOff>
    </xdr:from>
    <xdr:to>
      <xdr:col>12</xdr:col>
      <xdr:colOff>342900</xdr:colOff>
      <xdr:row>20</xdr:row>
      <xdr:rowOff>95250</xdr:rowOff>
    </xdr:to>
    <xdr:graphicFrame macro="">
      <xdr:nvGraphicFramePr>
        <xdr:cNvPr id="2" name="Chart 1">
          <a:extLst>
            <a:ext uri="{FF2B5EF4-FFF2-40B4-BE49-F238E27FC236}">
              <a16:creationId xmlns:a16="http://schemas.microsoft.com/office/drawing/2014/main" id="{182E0985-ED9C-5E22-162B-7A0526891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548640</xdr:colOff>
      <xdr:row>6</xdr:row>
      <xdr:rowOff>41910</xdr:rowOff>
    </xdr:from>
    <xdr:to>
      <xdr:col>11</xdr:col>
      <xdr:colOff>243840</xdr:colOff>
      <xdr:row>21</xdr:row>
      <xdr:rowOff>41910</xdr:rowOff>
    </xdr:to>
    <xdr:graphicFrame macro="">
      <xdr:nvGraphicFramePr>
        <xdr:cNvPr id="2" name="Chart 1">
          <a:extLst>
            <a:ext uri="{FF2B5EF4-FFF2-40B4-BE49-F238E27FC236}">
              <a16:creationId xmlns:a16="http://schemas.microsoft.com/office/drawing/2014/main" id="{00583884-AF6E-69EC-0680-EB394C478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11</xdr:col>
      <xdr:colOff>495300</xdr:colOff>
      <xdr:row>21</xdr:row>
      <xdr:rowOff>41910</xdr:rowOff>
    </xdr:to>
    <xdr:graphicFrame macro="">
      <xdr:nvGraphicFramePr>
        <xdr:cNvPr id="2" name="Chart 1">
          <a:extLst>
            <a:ext uri="{FF2B5EF4-FFF2-40B4-BE49-F238E27FC236}">
              <a16:creationId xmlns:a16="http://schemas.microsoft.com/office/drawing/2014/main" id="{47260E9E-B2C8-4ABD-525B-B8C23C234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22860</xdr:colOff>
      <xdr:row>5</xdr:row>
      <xdr:rowOff>110490</xdr:rowOff>
    </xdr:from>
    <xdr:to>
      <xdr:col>12</xdr:col>
      <xdr:colOff>327660</xdr:colOff>
      <xdr:row>20</xdr:row>
      <xdr:rowOff>110490</xdr:rowOff>
    </xdr:to>
    <xdr:graphicFrame macro="">
      <xdr:nvGraphicFramePr>
        <xdr:cNvPr id="2" name="Chart 1">
          <a:extLst>
            <a:ext uri="{FF2B5EF4-FFF2-40B4-BE49-F238E27FC236}">
              <a16:creationId xmlns:a16="http://schemas.microsoft.com/office/drawing/2014/main" id="{FF10DD0A-5D43-FAF0-8EDB-128569096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426720</xdr:colOff>
      <xdr:row>6</xdr:row>
      <xdr:rowOff>41910</xdr:rowOff>
    </xdr:from>
    <xdr:to>
      <xdr:col>11</xdr:col>
      <xdr:colOff>121920</xdr:colOff>
      <xdr:row>21</xdr:row>
      <xdr:rowOff>41910</xdr:rowOff>
    </xdr:to>
    <xdr:graphicFrame macro="">
      <xdr:nvGraphicFramePr>
        <xdr:cNvPr id="2" name="Chart 1">
          <a:extLst>
            <a:ext uri="{FF2B5EF4-FFF2-40B4-BE49-F238E27FC236}">
              <a16:creationId xmlns:a16="http://schemas.microsoft.com/office/drawing/2014/main" id="{EFC886C5-3999-76A5-EF58-92EE044DB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190500</xdr:colOff>
      <xdr:row>27</xdr:row>
      <xdr:rowOff>83820</xdr:rowOff>
    </xdr:to>
    <xdr:sp macro="" textlink="">
      <xdr:nvSpPr>
        <xdr:cNvPr id="2" name="Rectangle 1">
          <a:extLst>
            <a:ext uri="{FF2B5EF4-FFF2-40B4-BE49-F238E27FC236}">
              <a16:creationId xmlns:a16="http://schemas.microsoft.com/office/drawing/2014/main" id="{97834920-8E5C-0CFD-74FC-FD7A2FB2F6B0}"/>
            </a:ext>
          </a:extLst>
        </xdr:cNvPr>
        <xdr:cNvSpPr/>
      </xdr:nvSpPr>
      <xdr:spPr>
        <a:xfrm>
          <a:off x="0" y="0"/>
          <a:ext cx="14211300" cy="5021580"/>
        </a:xfrm>
        <a:prstGeom prst="rect">
          <a:avLst/>
        </a:prstGeom>
        <a:solidFill>
          <a:schemeClr val="tx1">
            <a:lumMod val="95000"/>
            <a:lumOff val="5000"/>
          </a:schemeClr>
        </a:solidFill>
      </xdr:spPr>
      <xdr:style>
        <a:lnRef idx="3">
          <a:schemeClr val="lt1"/>
        </a:lnRef>
        <a:fillRef idx="100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388620</xdr:colOff>
      <xdr:row>0</xdr:row>
      <xdr:rowOff>83820</xdr:rowOff>
    </xdr:from>
    <xdr:to>
      <xdr:col>22</xdr:col>
      <xdr:colOff>548640</xdr:colOff>
      <xdr:row>2</xdr:row>
      <xdr:rowOff>167640</xdr:rowOff>
    </xdr:to>
    <xdr:grpSp>
      <xdr:nvGrpSpPr>
        <xdr:cNvPr id="69" name="Group 68">
          <a:extLst>
            <a:ext uri="{FF2B5EF4-FFF2-40B4-BE49-F238E27FC236}">
              <a16:creationId xmlns:a16="http://schemas.microsoft.com/office/drawing/2014/main" id="{E80841C9-386B-6847-1EE6-9E063C6CA0C3}"/>
            </a:ext>
          </a:extLst>
        </xdr:cNvPr>
        <xdr:cNvGrpSpPr/>
      </xdr:nvGrpSpPr>
      <xdr:grpSpPr>
        <a:xfrm>
          <a:off x="1607820" y="83820"/>
          <a:ext cx="12352020" cy="449580"/>
          <a:chOff x="1607820" y="83820"/>
          <a:chExt cx="12352020" cy="449580"/>
        </a:xfrm>
      </xdr:grpSpPr>
      <xdr:sp macro="" textlink="">
        <xdr:nvSpPr>
          <xdr:cNvPr id="7" name="Rectangle: Rounded Corners 6">
            <a:extLst>
              <a:ext uri="{FF2B5EF4-FFF2-40B4-BE49-F238E27FC236}">
                <a16:creationId xmlns:a16="http://schemas.microsoft.com/office/drawing/2014/main" id="{B3BBC236-463E-2D15-B7BF-1F8E1E2805FD}"/>
              </a:ext>
            </a:extLst>
          </xdr:cNvPr>
          <xdr:cNvSpPr/>
        </xdr:nvSpPr>
        <xdr:spPr>
          <a:xfrm>
            <a:off x="1607820" y="83820"/>
            <a:ext cx="12352020" cy="4495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400" b="1">
                <a:solidFill>
                  <a:schemeClr val="accent1">
                    <a:lumMod val="60000"/>
                    <a:lumOff val="40000"/>
                  </a:schemeClr>
                </a:solidFill>
                <a:latin typeface="Alasassy Caps" pitchFamily="2" charset="0"/>
              </a:rPr>
              <a:t>E-commerce Sales &amp; Order Analytics Dashboard</a:t>
            </a:r>
          </a:p>
        </xdr:txBody>
      </xdr:sp>
      <xdr:pic>
        <xdr:nvPicPr>
          <xdr:cNvPr id="11" name="Graphic 10" descr="Shopping cart outline">
            <a:extLst>
              <a:ext uri="{FF2B5EF4-FFF2-40B4-BE49-F238E27FC236}">
                <a16:creationId xmlns:a16="http://schemas.microsoft.com/office/drawing/2014/main" id="{5B4AFDF5-D1A5-058C-4E37-0E3A014569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69080" y="129540"/>
            <a:ext cx="419100" cy="320040"/>
          </a:xfrm>
          <a:prstGeom prst="rect">
            <a:avLst/>
          </a:prstGeom>
        </xdr:spPr>
      </xdr:pic>
    </xdr:grpSp>
    <xdr:clientData/>
  </xdr:twoCellAnchor>
  <xdr:twoCellAnchor>
    <xdr:from>
      <xdr:col>2</xdr:col>
      <xdr:colOff>441960</xdr:colOff>
      <xdr:row>3</xdr:row>
      <xdr:rowOff>7620</xdr:rowOff>
    </xdr:from>
    <xdr:to>
      <xdr:col>5</xdr:col>
      <xdr:colOff>281940</xdr:colOff>
      <xdr:row>6</xdr:row>
      <xdr:rowOff>167640</xdr:rowOff>
    </xdr:to>
    <xdr:grpSp>
      <xdr:nvGrpSpPr>
        <xdr:cNvPr id="16" name="Group 15">
          <a:extLst>
            <a:ext uri="{FF2B5EF4-FFF2-40B4-BE49-F238E27FC236}">
              <a16:creationId xmlns:a16="http://schemas.microsoft.com/office/drawing/2014/main" id="{CA103967-E948-EDC5-A00E-F8D9D324A9AA}"/>
            </a:ext>
          </a:extLst>
        </xdr:cNvPr>
        <xdr:cNvGrpSpPr/>
      </xdr:nvGrpSpPr>
      <xdr:grpSpPr>
        <a:xfrm>
          <a:off x="1661160" y="556260"/>
          <a:ext cx="1668780" cy="708660"/>
          <a:chOff x="1661160" y="556260"/>
          <a:chExt cx="1668780" cy="708660"/>
        </a:xfrm>
      </xdr:grpSpPr>
      <xdr:sp macro="" textlink="">
        <xdr:nvSpPr>
          <xdr:cNvPr id="12" name="Rectangle: Rounded Corners 11">
            <a:extLst>
              <a:ext uri="{FF2B5EF4-FFF2-40B4-BE49-F238E27FC236}">
                <a16:creationId xmlns:a16="http://schemas.microsoft.com/office/drawing/2014/main" id="{F35E2061-2F98-9A6A-E611-E160F709F30C}"/>
              </a:ext>
            </a:extLst>
          </xdr:cNvPr>
          <xdr:cNvSpPr/>
        </xdr:nvSpPr>
        <xdr:spPr>
          <a:xfrm>
            <a:off x="1661160" y="556260"/>
            <a:ext cx="1668780" cy="708660"/>
          </a:xfrm>
          <a:prstGeom prst="roundRect">
            <a:avLst/>
          </a:prstGeom>
          <a:solidFill>
            <a:srgbClr val="081425"/>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vertOverflow="clip" horzOverflow="clip" rtlCol="0" anchor="t"/>
          <a:lstStyle/>
          <a:p>
            <a:pPr algn="ctr"/>
            <a:r>
              <a:rPr lang="en-IN" sz="1100" b="0" i="0" u="none" strike="noStrike" baseline="0">
                <a:solidFill>
                  <a:schemeClr val="lt1"/>
                </a:solidFill>
                <a:effectLst/>
                <a:latin typeface="+mn-lt"/>
                <a:ea typeface="+mn-ea"/>
                <a:cs typeface="+mn-cs"/>
              </a:rPr>
              <a:t>              </a:t>
            </a:r>
            <a:r>
              <a:rPr lang="en-IN" sz="1200" b="1">
                <a:solidFill>
                  <a:schemeClr val="bg1"/>
                </a:solidFill>
              </a:rPr>
              <a:t>Total Revenue</a:t>
            </a:r>
          </a:p>
          <a:p>
            <a:pPr algn="ctr"/>
            <a:r>
              <a:rPr lang="en-IN" sz="1800" b="1" i="0" u="none" strike="noStrike">
                <a:solidFill>
                  <a:schemeClr val="bg1"/>
                </a:solidFill>
                <a:effectLst/>
                <a:latin typeface="+mn-lt"/>
                <a:ea typeface="+mn-ea"/>
                <a:cs typeface="+mn-cs"/>
              </a:rPr>
              <a:t>     </a:t>
            </a:r>
            <a:r>
              <a:rPr lang="en-IN" sz="1800" b="1" i="0" u="none" strike="noStrike" baseline="0">
                <a:solidFill>
                  <a:schemeClr val="bg1"/>
                </a:solidFill>
                <a:effectLst/>
                <a:latin typeface="+mn-lt"/>
                <a:ea typeface="+mn-ea"/>
                <a:cs typeface="+mn-cs"/>
              </a:rPr>
              <a:t>    </a:t>
            </a:r>
            <a:r>
              <a:rPr lang="en-IN" sz="1800" b="1" i="0" u="none" strike="noStrike">
                <a:solidFill>
                  <a:schemeClr val="bg1"/>
                </a:solidFill>
                <a:effectLst/>
                <a:latin typeface="+mn-lt"/>
                <a:ea typeface="+mn-ea"/>
                <a:cs typeface="+mn-cs"/>
              </a:rPr>
              <a:t>₹180881.8</a:t>
            </a:r>
            <a:r>
              <a:rPr lang="en-IN" sz="1800" b="1">
                <a:solidFill>
                  <a:schemeClr val="bg1"/>
                </a:solidFill>
                <a:effectLst/>
              </a:rPr>
              <a:t> </a:t>
            </a:r>
            <a:endParaRPr lang="en-IN" sz="1800" b="1">
              <a:solidFill>
                <a:schemeClr val="bg1"/>
              </a:solidFill>
            </a:endParaRPr>
          </a:p>
        </xdr:txBody>
      </xdr:sp>
      <xdr:sp macro="" textlink="">
        <xdr:nvSpPr>
          <xdr:cNvPr id="21" name="Oval 20">
            <a:extLst>
              <a:ext uri="{FF2B5EF4-FFF2-40B4-BE49-F238E27FC236}">
                <a16:creationId xmlns:a16="http://schemas.microsoft.com/office/drawing/2014/main" id="{E32E1E8E-AC55-3586-271A-B90F899B4545}"/>
              </a:ext>
            </a:extLst>
          </xdr:cNvPr>
          <xdr:cNvSpPr/>
        </xdr:nvSpPr>
        <xdr:spPr>
          <a:xfrm>
            <a:off x="1752600" y="701040"/>
            <a:ext cx="373380" cy="33528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3" name="Graphic 22" descr="Rupee with solid fill">
            <a:extLst>
              <a:ext uri="{FF2B5EF4-FFF2-40B4-BE49-F238E27FC236}">
                <a16:creationId xmlns:a16="http://schemas.microsoft.com/office/drawing/2014/main" id="{9B1CFA8D-2D5F-5C94-32E6-E968429E2A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98320" y="746760"/>
            <a:ext cx="297180" cy="297180"/>
          </a:xfrm>
          <a:prstGeom prst="rect">
            <a:avLst/>
          </a:prstGeom>
        </xdr:spPr>
      </xdr:pic>
    </xdr:grpSp>
    <xdr:clientData/>
  </xdr:twoCellAnchor>
  <xdr:twoCellAnchor>
    <xdr:from>
      <xdr:col>0</xdr:col>
      <xdr:colOff>190500</xdr:colOff>
      <xdr:row>0</xdr:row>
      <xdr:rowOff>106680</xdr:rowOff>
    </xdr:from>
    <xdr:to>
      <xdr:col>2</xdr:col>
      <xdr:colOff>281940</xdr:colOff>
      <xdr:row>27</xdr:row>
      <xdr:rowOff>15240</xdr:rowOff>
    </xdr:to>
    <xdr:sp macro="" textlink="">
      <xdr:nvSpPr>
        <xdr:cNvPr id="26" name="Rectangle: Rounded Corners 25">
          <a:extLst>
            <a:ext uri="{FF2B5EF4-FFF2-40B4-BE49-F238E27FC236}">
              <a16:creationId xmlns:a16="http://schemas.microsoft.com/office/drawing/2014/main" id="{A62D565E-041B-5245-0981-F726841735B4}"/>
            </a:ext>
          </a:extLst>
        </xdr:cNvPr>
        <xdr:cNvSpPr/>
      </xdr:nvSpPr>
      <xdr:spPr>
        <a:xfrm>
          <a:off x="190500" y="106680"/>
          <a:ext cx="1310640" cy="484632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259080</xdr:colOff>
      <xdr:row>8</xdr:row>
      <xdr:rowOff>175259</xdr:rowOff>
    </xdr:from>
    <xdr:to>
      <xdr:col>2</xdr:col>
      <xdr:colOff>243840</xdr:colOff>
      <xdr:row>12</xdr:row>
      <xdr:rowOff>99060</xdr:rowOff>
    </xdr:to>
    <mc:AlternateContent xmlns:mc="http://schemas.openxmlformats.org/markup-compatibility/2006" xmlns:a14="http://schemas.microsoft.com/office/drawing/2010/main">
      <mc:Choice Requires="a14">
        <xdr:graphicFrame macro="">
          <xdr:nvGraphicFramePr>
            <xdr:cNvPr id="20" name="ship-state">
              <a:extLst>
                <a:ext uri="{FF2B5EF4-FFF2-40B4-BE49-F238E27FC236}">
                  <a16:creationId xmlns:a16="http://schemas.microsoft.com/office/drawing/2014/main" id="{4617793A-2E6C-EE35-C372-E30D38D6CFC9}"/>
                </a:ext>
              </a:extLst>
            </xdr:cNvPr>
            <xdr:cNvGraphicFramePr/>
          </xdr:nvGraphicFramePr>
          <xdr:xfrm>
            <a:off x="0" y="0"/>
            <a:ext cx="0" cy="0"/>
          </xdr:xfrm>
          <a:graphic>
            <a:graphicData uri="http://schemas.microsoft.com/office/drawing/2010/slicer">
              <sle:slicer xmlns:sle="http://schemas.microsoft.com/office/drawing/2010/slicer" name="ship-state"/>
            </a:graphicData>
          </a:graphic>
        </xdr:graphicFrame>
      </mc:Choice>
      <mc:Fallback xmlns="">
        <xdr:sp macro="" textlink="">
          <xdr:nvSpPr>
            <xdr:cNvPr id="0" name=""/>
            <xdr:cNvSpPr>
              <a:spLocks noTextEdit="1"/>
            </xdr:cNvSpPr>
          </xdr:nvSpPr>
          <xdr:spPr>
            <a:xfrm>
              <a:off x="259080" y="1638299"/>
              <a:ext cx="1203960" cy="655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4</xdr:row>
      <xdr:rowOff>121920</xdr:rowOff>
    </xdr:from>
    <xdr:to>
      <xdr:col>2</xdr:col>
      <xdr:colOff>236220</xdr:colOff>
      <xdr:row>8</xdr:row>
      <xdr:rowOff>22859</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DDAFC298-DA73-BFBA-4918-3D8CF039283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1460" y="853440"/>
              <a:ext cx="120396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13</xdr:row>
      <xdr:rowOff>83819</xdr:rowOff>
    </xdr:from>
    <xdr:to>
      <xdr:col>2</xdr:col>
      <xdr:colOff>243840</xdr:colOff>
      <xdr:row>17</xdr:row>
      <xdr:rowOff>0</xdr:rowOff>
    </xdr:to>
    <mc:AlternateContent xmlns:mc="http://schemas.openxmlformats.org/markup-compatibility/2006" xmlns:a14="http://schemas.microsoft.com/office/drawing/2010/main">
      <mc:Choice Requires="a14">
        <xdr:graphicFrame macro="">
          <xdr:nvGraphicFramePr>
            <xdr:cNvPr id="18" name="Order status">
              <a:extLst>
                <a:ext uri="{FF2B5EF4-FFF2-40B4-BE49-F238E27FC236}">
                  <a16:creationId xmlns:a16="http://schemas.microsoft.com/office/drawing/2014/main" id="{F5FEAB7E-2BD9-9FD8-7344-82B36CA0D30B}"/>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259080" y="2461259"/>
              <a:ext cx="1203960" cy="647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17</xdr:row>
      <xdr:rowOff>144779</xdr:rowOff>
    </xdr:from>
    <xdr:to>
      <xdr:col>2</xdr:col>
      <xdr:colOff>236220</xdr:colOff>
      <xdr:row>21</xdr:row>
      <xdr:rowOff>53340</xdr:rowOff>
    </xdr:to>
    <mc:AlternateContent xmlns:mc="http://schemas.openxmlformats.org/markup-compatibility/2006" xmlns:a14="http://schemas.microsoft.com/office/drawing/2010/main">
      <mc:Choice Requires="a14">
        <xdr:graphicFrame macro="">
          <xdr:nvGraphicFramePr>
            <xdr:cNvPr id="24" name="fulfilled-by">
              <a:extLst>
                <a:ext uri="{FF2B5EF4-FFF2-40B4-BE49-F238E27FC236}">
                  <a16:creationId xmlns:a16="http://schemas.microsoft.com/office/drawing/2014/main" id="{91F0602C-DAEE-5DF8-5014-2D5620A8E003}"/>
                </a:ext>
              </a:extLst>
            </xdr:cNvPr>
            <xdr:cNvGraphicFramePr/>
          </xdr:nvGraphicFramePr>
          <xdr:xfrm>
            <a:off x="0" y="0"/>
            <a:ext cx="0" cy="0"/>
          </xdr:xfrm>
          <a:graphic>
            <a:graphicData uri="http://schemas.microsoft.com/office/drawing/2010/slicer">
              <sle:slicer xmlns:sle="http://schemas.microsoft.com/office/drawing/2010/slicer" name="fulfilled-by"/>
            </a:graphicData>
          </a:graphic>
        </xdr:graphicFrame>
      </mc:Choice>
      <mc:Fallback xmlns="">
        <xdr:sp macro="" textlink="">
          <xdr:nvSpPr>
            <xdr:cNvPr id="0" name=""/>
            <xdr:cNvSpPr>
              <a:spLocks noTextEdit="1"/>
            </xdr:cNvSpPr>
          </xdr:nvSpPr>
          <xdr:spPr>
            <a:xfrm>
              <a:off x="259080" y="3253739"/>
              <a:ext cx="1196340" cy="640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22</xdr:row>
      <xdr:rowOff>22860</xdr:rowOff>
    </xdr:from>
    <xdr:to>
      <xdr:col>2</xdr:col>
      <xdr:colOff>236220</xdr:colOff>
      <xdr:row>25</xdr:row>
      <xdr:rowOff>152399</xdr:rowOff>
    </xdr:to>
    <mc:AlternateContent xmlns:mc="http://schemas.openxmlformats.org/markup-compatibility/2006" xmlns:a14="http://schemas.microsoft.com/office/drawing/2010/main">
      <mc:Choice Requires="a14">
        <xdr:graphicFrame macro="">
          <xdr:nvGraphicFramePr>
            <xdr:cNvPr id="22" name="B2B">
              <a:extLst>
                <a:ext uri="{FF2B5EF4-FFF2-40B4-BE49-F238E27FC236}">
                  <a16:creationId xmlns:a16="http://schemas.microsoft.com/office/drawing/2014/main" id="{9BEE0813-D1AA-ABD3-A6C4-AF3764D41C7D}"/>
                </a:ext>
              </a:extLst>
            </xdr:cNvPr>
            <xdr:cNvGraphicFramePr/>
          </xdr:nvGraphicFramePr>
          <xdr:xfrm>
            <a:off x="0" y="0"/>
            <a:ext cx="0" cy="0"/>
          </xdr:xfrm>
          <a:graphic>
            <a:graphicData uri="http://schemas.microsoft.com/office/drawing/2010/slicer">
              <sle:slicer xmlns:sle="http://schemas.microsoft.com/office/drawing/2010/slicer" name="B2B"/>
            </a:graphicData>
          </a:graphic>
        </xdr:graphicFrame>
      </mc:Choice>
      <mc:Fallback xmlns="">
        <xdr:sp macro="" textlink="">
          <xdr:nvSpPr>
            <xdr:cNvPr id="0" name=""/>
            <xdr:cNvSpPr>
              <a:spLocks noTextEdit="1"/>
            </xdr:cNvSpPr>
          </xdr:nvSpPr>
          <xdr:spPr>
            <a:xfrm>
              <a:off x="259080" y="4046220"/>
              <a:ext cx="119634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243840</xdr:colOff>
      <xdr:row>1</xdr:row>
      <xdr:rowOff>7620</xdr:rowOff>
    </xdr:from>
    <xdr:to>
      <xdr:col>2</xdr:col>
      <xdr:colOff>213360</xdr:colOff>
      <xdr:row>4</xdr:row>
      <xdr:rowOff>22860</xdr:rowOff>
    </xdr:to>
    <xdr:grpSp>
      <xdr:nvGrpSpPr>
        <xdr:cNvPr id="60" name="Group 59">
          <a:extLst>
            <a:ext uri="{FF2B5EF4-FFF2-40B4-BE49-F238E27FC236}">
              <a16:creationId xmlns:a16="http://schemas.microsoft.com/office/drawing/2014/main" id="{4D39CD91-E292-D802-5221-E5FFD9DA3F06}"/>
            </a:ext>
          </a:extLst>
        </xdr:cNvPr>
        <xdr:cNvGrpSpPr/>
      </xdr:nvGrpSpPr>
      <xdr:grpSpPr>
        <a:xfrm>
          <a:off x="243840" y="190500"/>
          <a:ext cx="1188720" cy="563880"/>
          <a:chOff x="243840" y="190500"/>
          <a:chExt cx="1188720" cy="563880"/>
        </a:xfrm>
      </xdr:grpSpPr>
      <xdr:sp macro="" textlink="">
        <xdr:nvSpPr>
          <xdr:cNvPr id="29" name="Rectangle: Rounded Corners 28">
            <a:extLst>
              <a:ext uri="{FF2B5EF4-FFF2-40B4-BE49-F238E27FC236}">
                <a16:creationId xmlns:a16="http://schemas.microsoft.com/office/drawing/2014/main" id="{4205384E-82B9-E9C9-5910-89DC6531A320}"/>
              </a:ext>
            </a:extLst>
          </xdr:cNvPr>
          <xdr:cNvSpPr/>
        </xdr:nvSpPr>
        <xdr:spPr>
          <a:xfrm>
            <a:off x="243840" y="190500"/>
            <a:ext cx="1188720" cy="563880"/>
          </a:xfrm>
          <a:prstGeom prst="roundRect">
            <a:avLst/>
          </a:prstGeom>
          <a:solidFill>
            <a:srgbClr val="0814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8CFF"/>
                </a:solidFill>
              </a:rPr>
              <a:t>Filters</a:t>
            </a:r>
          </a:p>
        </xdr:txBody>
      </xdr:sp>
      <xdr:pic>
        <xdr:nvPicPr>
          <xdr:cNvPr id="28" name="Graphic 27" descr="Filter with solid fill">
            <a:extLst>
              <a:ext uri="{FF2B5EF4-FFF2-40B4-BE49-F238E27FC236}">
                <a16:creationId xmlns:a16="http://schemas.microsoft.com/office/drawing/2014/main" id="{AD456F0A-8353-8E40-5E6B-76099E88DB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91540" y="236220"/>
            <a:ext cx="441960" cy="441960"/>
          </a:xfrm>
          <a:prstGeom prst="rect">
            <a:avLst/>
          </a:prstGeom>
        </xdr:spPr>
      </xdr:pic>
    </xdr:grpSp>
    <xdr:clientData/>
  </xdr:twoCellAnchor>
  <xdr:twoCellAnchor>
    <xdr:from>
      <xdr:col>16</xdr:col>
      <xdr:colOff>274320</xdr:colOff>
      <xdr:row>7</xdr:row>
      <xdr:rowOff>38100</xdr:rowOff>
    </xdr:from>
    <xdr:to>
      <xdr:col>22</xdr:col>
      <xdr:colOff>601980</xdr:colOff>
      <xdr:row>16</xdr:row>
      <xdr:rowOff>137160</xdr:rowOff>
    </xdr:to>
    <xdr:grpSp>
      <xdr:nvGrpSpPr>
        <xdr:cNvPr id="64" name="Group 63">
          <a:extLst>
            <a:ext uri="{FF2B5EF4-FFF2-40B4-BE49-F238E27FC236}">
              <a16:creationId xmlns:a16="http://schemas.microsoft.com/office/drawing/2014/main" id="{33EAF128-1A55-930A-DE40-9DB014876AB5}"/>
            </a:ext>
          </a:extLst>
        </xdr:cNvPr>
        <xdr:cNvGrpSpPr/>
      </xdr:nvGrpSpPr>
      <xdr:grpSpPr>
        <a:xfrm>
          <a:off x="10027920" y="1318260"/>
          <a:ext cx="3985260" cy="1744980"/>
          <a:chOff x="10027920" y="1318260"/>
          <a:chExt cx="3985260" cy="1744980"/>
        </a:xfrm>
      </xdr:grpSpPr>
      <xdr:sp macro="" textlink="">
        <xdr:nvSpPr>
          <xdr:cNvPr id="33" name="Rectangle: Rounded Corners 32">
            <a:extLst>
              <a:ext uri="{FF2B5EF4-FFF2-40B4-BE49-F238E27FC236}">
                <a16:creationId xmlns:a16="http://schemas.microsoft.com/office/drawing/2014/main" id="{B37B2F69-3FB2-CF38-5729-1D5D73D9E230}"/>
              </a:ext>
            </a:extLst>
          </xdr:cNvPr>
          <xdr:cNvSpPr/>
        </xdr:nvSpPr>
        <xdr:spPr>
          <a:xfrm>
            <a:off x="10027920" y="1318260"/>
            <a:ext cx="3985260" cy="1744980"/>
          </a:xfrm>
          <a:prstGeom prst="roundRect">
            <a:avLst/>
          </a:prstGeom>
          <a:solidFill>
            <a:srgbClr val="081425"/>
          </a:solidFill>
          <a:ln>
            <a:solidFill>
              <a:srgbClr val="008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 name="Chart 39">
            <a:extLst>
              <a:ext uri="{FF2B5EF4-FFF2-40B4-BE49-F238E27FC236}">
                <a16:creationId xmlns:a16="http://schemas.microsoft.com/office/drawing/2014/main" id="{F5174A00-0DED-4627-AE5F-7B8D583F04B6}"/>
              </a:ext>
            </a:extLst>
          </xdr:cNvPr>
          <xdr:cNvGraphicFramePr>
            <a:graphicFrameLocks/>
          </xdr:cNvGraphicFramePr>
        </xdr:nvGraphicFramePr>
        <xdr:xfrm>
          <a:off x="10332720" y="1440180"/>
          <a:ext cx="3215640" cy="157734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7</xdr:col>
      <xdr:colOff>419100</xdr:colOff>
      <xdr:row>17</xdr:row>
      <xdr:rowOff>15240</xdr:rowOff>
    </xdr:from>
    <xdr:to>
      <xdr:col>12</xdr:col>
      <xdr:colOff>441960</xdr:colOff>
      <xdr:row>26</xdr:row>
      <xdr:rowOff>167640</xdr:rowOff>
    </xdr:to>
    <xdr:grpSp>
      <xdr:nvGrpSpPr>
        <xdr:cNvPr id="66" name="Group 65">
          <a:extLst>
            <a:ext uri="{FF2B5EF4-FFF2-40B4-BE49-F238E27FC236}">
              <a16:creationId xmlns:a16="http://schemas.microsoft.com/office/drawing/2014/main" id="{5DFE05FB-0A2B-EC33-C19C-5BD20517CE14}"/>
            </a:ext>
          </a:extLst>
        </xdr:cNvPr>
        <xdr:cNvGrpSpPr/>
      </xdr:nvGrpSpPr>
      <xdr:grpSpPr>
        <a:xfrm>
          <a:off x="4686300" y="3124200"/>
          <a:ext cx="3070860" cy="1798320"/>
          <a:chOff x="4686300" y="3124200"/>
          <a:chExt cx="3070860" cy="1798320"/>
        </a:xfrm>
      </xdr:grpSpPr>
      <xdr:sp macro="" textlink="">
        <xdr:nvSpPr>
          <xdr:cNvPr id="35" name="Rectangle: Rounded Corners 34">
            <a:extLst>
              <a:ext uri="{FF2B5EF4-FFF2-40B4-BE49-F238E27FC236}">
                <a16:creationId xmlns:a16="http://schemas.microsoft.com/office/drawing/2014/main" id="{1B89AAF3-1FEC-C5A4-121E-29E5B70488CD}"/>
              </a:ext>
            </a:extLst>
          </xdr:cNvPr>
          <xdr:cNvSpPr/>
        </xdr:nvSpPr>
        <xdr:spPr>
          <a:xfrm>
            <a:off x="4686300" y="3124200"/>
            <a:ext cx="3070860" cy="1798320"/>
          </a:xfrm>
          <a:prstGeom prst="roundRect">
            <a:avLst/>
          </a:prstGeom>
          <a:solidFill>
            <a:srgbClr val="081425"/>
          </a:solidFill>
          <a:ln>
            <a:solidFill>
              <a:srgbClr val="008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2" name="Chart 41">
            <a:extLst>
              <a:ext uri="{FF2B5EF4-FFF2-40B4-BE49-F238E27FC236}">
                <a16:creationId xmlns:a16="http://schemas.microsoft.com/office/drawing/2014/main" id="{184C1455-F020-47A8-84B2-52CC7CA12038}"/>
              </a:ext>
            </a:extLst>
          </xdr:cNvPr>
          <xdr:cNvGraphicFramePr>
            <a:graphicFrameLocks/>
          </xdr:cNvGraphicFramePr>
        </xdr:nvGraphicFramePr>
        <xdr:xfrm>
          <a:off x="4899660" y="3253740"/>
          <a:ext cx="2697480" cy="155448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12</xdr:col>
      <xdr:colOff>495300</xdr:colOff>
      <xdr:row>17</xdr:row>
      <xdr:rowOff>30480</xdr:rowOff>
    </xdr:from>
    <xdr:to>
      <xdr:col>17</xdr:col>
      <xdr:colOff>487680</xdr:colOff>
      <xdr:row>26</xdr:row>
      <xdr:rowOff>167640</xdr:rowOff>
    </xdr:to>
    <xdr:grpSp>
      <xdr:nvGrpSpPr>
        <xdr:cNvPr id="67" name="Group 66">
          <a:extLst>
            <a:ext uri="{FF2B5EF4-FFF2-40B4-BE49-F238E27FC236}">
              <a16:creationId xmlns:a16="http://schemas.microsoft.com/office/drawing/2014/main" id="{20C3C442-A7A4-A2AE-2F2C-520FA1B3C4ED}"/>
            </a:ext>
          </a:extLst>
        </xdr:cNvPr>
        <xdr:cNvGrpSpPr/>
      </xdr:nvGrpSpPr>
      <xdr:grpSpPr>
        <a:xfrm>
          <a:off x="7810500" y="3139440"/>
          <a:ext cx="3040380" cy="1783080"/>
          <a:chOff x="7810500" y="3139440"/>
          <a:chExt cx="3040380" cy="1783080"/>
        </a:xfrm>
      </xdr:grpSpPr>
      <xdr:sp macro="" textlink="">
        <xdr:nvSpPr>
          <xdr:cNvPr id="36" name="Rectangle: Rounded Corners 35">
            <a:extLst>
              <a:ext uri="{FF2B5EF4-FFF2-40B4-BE49-F238E27FC236}">
                <a16:creationId xmlns:a16="http://schemas.microsoft.com/office/drawing/2014/main" id="{C115DE12-5B3E-C43A-B997-AB7F722123FE}"/>
              </a:ext>
            </a:extLst>
          </xdr:cNvPr>
          <xdr:cNvSpPr/>
        </xdr:nvSpPr>
        <xdr:spPr>
          <a:xfrm>
            <a:off x="7810500" y="3139440"/>
            <a:ext cx="3040380" cy="1783080"/>
          </a:xfrm>
          <a:prstGeom prst="roundRect">
            <a:avLst/>
          </a:prstGeom>
          <a:solidFill>
            <a:srgbClr val="081425"/>
          </a:solidFill>
          <a:ln>
            <a:solidFill>
              <a:srgbClr val="008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3" name="Chart 42">
            <a:extLst>
              <a:ext uri="{FF2B5EF4-FFF2-40B4-BE49-F238E27FC236}">
                <a16:creationId xmlns:a16="http://schemas.microsoft.com/office/drawing/2014/main" id="{04BC57D5-26E5-4579-9292-C09A1D0A8894}"/>
              </a:ext>
            </a:extLst>
          </xdr:cNvPr>
          <xdr:cNvGraphicFramePr>
            <a:graphicFrameLocks/>
          </xdr:cNvGraphicFramePr>
        </xdr:nvGraphicFramePr>
        <xdr:xfrm>
          <a:off x="7909560" y="3223260"/>
          <a:ext cx="2796540" cy="155448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17</xdr:col>
      <xdr:colOff>563880</xdr:colOff>
      <xdr:row>17</xdr:row>
      <xdr:rowOff>38100</xdr:rowOff>
    </xdr:from>
    <xdr:to>
      <xdr:col>23</xdr:col>
      <xdr:colOff>15240</xdr:colOff>
      <xdr:row>27</xdr:row>
      <xdr:rowOff>0</xdr:rowOff>
    </xdr:to>
    <xdr:grpSp>
      <xdr:nvGrpSpPr>
        <xdr:cNvPr id="68" name="Group 67">
          <a:extLst>
            <a:ext uri="{FF2B5EF4-FFF2-40B4-BE49-F238E27FC236}">
              <a16:creationId xmlns:a16="http://schemas.microsoft.com/office/drawing/2014/main" id="{8F7B2C23-238C-ED02-B86D-8DC789C9502D}"/>
            </a:ext>
          </a:extLst>
        </xdr:cNvPr>
        <xdr:cNvGrpSpPr/>
      </xdr:nvGrpSpPr>
      <xdr:grpSpPr>
        <a:xfrm>
          <a:off x="10927080" y="3147060"/>
          <a:ext cx="3108960" cy="1790700"/>
          <a:chOff x="10927080" y="3147060"/>
          <a:chExt cx="3108960" cy="1790700"/>
        </a:xfrm>
      </xdr:grpSpPr>
      <xdr:sp macro="" textlink="">
        <xdr:nvSpPr>
          <xdr:cNvPr id="37" name="Rectangle: Rounded Corners 36">
            <a:extLst>
              <a:ext uri="{FF2B5EF4-FFF2-40B4-BE49-F238E27FC236}">
                <a16:creationId xmlns:a16="http://schemas.microsoft.com/office/drawing/2014/main" id="{B783B038-85F9-0D2E-4FD1-10FE64E3CF02}"/>
              </a:ext>
            </a:extLst>
          </xdr:cNvPr>
          <xdr:cNvSpPr/>
        </xdr:nvSpPr>
        <xdr:spPr>
          <a:xfrm>
            <a:off x="10927080" y="3147060"/>
            <a:ext cx="3108960" cy="1790700"/>
          </a:xfrm>
          <a:prstGeom prst="roundRect">
            <a:avLst/>
          </a:prstGeom>
          <a:solidFill>
            <a:srgbClr val="081425"/>
          </a:solidFill>
          <a:ln>
            <a:solidFill>
              <a:srgbClr val="008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6A9C315A-0319-489E-90A1-FDCB9559F46E}"/>
              </a:ext>
            </a:extLst>
          </xdr:cNvPr>
          <xdr:cNvGraphicFramePr>
            <a:graphicFrameLocks/>
          </xdr:cNvGraphicFramePr>
        </xdr:nvGraphicFramePr>
        <xdr:xfrm>
          <a:off x="11140440" y="3230880"/>
          <a:ext cx="2689860" cy="155448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5</xdr:col>
      <xdr:colOff>387350</xdr:colOff>
      <xdr:row>3</xdr:row>
      <xdr:rowOff>7620</xdr:rowOff>
    </xdr:from>
    <xdr:to>
      <xdr:col>8</xdr:col>
      <xdr:colOff>227330</xdr:colOff>
      <xdr:row>6</xdr:row>
      <xdr:rowOff>167640</xdr:rowOff>
    </xdr:to>
    <xdr:grpSp>
      <xdr:nvGrpSpPr>
        <xdr:cNvPr id="27" name="Group 26">
          <a:extLst>
            <a:ext uri="{FF2B5EF4-FFF2-40B4-BE49-F238E27FC236}">
              <a16:creationId xmlns:a16="http://schemas.microsoft.com/office/drawing/2014/main" id="{571292D5-0563-0F68-BA91-E7366DE17F4D}"/>
            </a:ext>
          </a:extLst>
        </xdr:cNvPr>
        <xdr:cNvGrpSpPr/>
      </xdr:nvGrpSpPr>
      <xdr:grpSpPr>
        <a:xfrm>
          <a:off x="3435350" y="556260"/>
          <a:ext cx="1668780" cy="708660"/>
          <a:chOff x="3435350" y="556260"/>
          <a:chExt cx="1668780" cy="708660"/>
        </a:xfrm>
      </xdr:grpSpPr>
      <xdr:sp macro="" textlink="">
        <xdr:nvSpPr>
          <xdr:cNvPr id="47" name="Rectangle: Rounded Corners 46">
            <a:extLst>
              <a:ext uri="{FF2B5EF4-FFF2-40B4-BE49-F238E27FC236}">
                <a16:creationId xmlns:a16="http://schemas.microsoft.com/office/drawing/2014/main" id="{9AC6DC7C-92DA-39D8-C31C-10FBD98B3F83}"/>
              </a:ext>
            </a:extLst>
          </xdr:cNvPr>
          <xdr:cNvSpPr/>
        </xdr:nvSpPr>
        <xdr:spPr>
          <a:xfrm>
            <a:off x="3435350" y="556260"/>
            <a:ext cx="1668780" cy="708660"/>
          </a:xfrm>
          <a:prstGeom prst="roundRect">
            <a:avLst/>
          </a:prstGeom>
          <a:solidFill>
            <a:srgbClr val="081425"/>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IN" sz="1100" b="0" i="0" u="none" strike="noStrike" baseline="0">
                <a:solidFill>
                  <a:schemeClr val="bg1"/>
                </a:solidFill>
                <a:effectLst/>
                <a:latin typeface="+mn-lt"/>
                <a:ea typeface="+mn-ea"/>
                <a:cs typeface="+mn-cs"/>
              </a:rPr>
              <a:t>              </a:t>
            </a:r>
            <a:r>
              <a:rPr lang="en-IN" sz="1200" b="1" i="0" u="none" strike="noStrike" baseline="0">
                <a:solidFill>
                  <a:schemeClr val="bg1"/>
                </a:solidFill>
                <a:effectLst/>
                <a:latin typeface="+mn-lt"/>
                <a:ea typeface="+mn-ea"/>
                <a:cs typeface="+mn-cs"/>
              </a:rPr>
              <a:t>Total orders</a:t>
            </a:r>
            <a:endParaRPr lang="en-IN" sz="1200" b="1">
              <a:solidFill>
                <a:schemeClr val="bg1"/>
              </a:solidFill>
            </a:endParaRPr>
          </a:p>
          <a:p>
            <a:pPr algn="ctr"/>
            <a:r>
              <a:rPr lang="en-IN" sz="1800" b="1" i="0" u="none" strike="noStrike">
                <a:solidFill>
                  <a:schemeClr val="bg1"/>
                </a:solidFill>
                <a:effectLst/>
                <a:latin typeface="+mn-lt"/>
                <a:ea typeface="+mn-ea"/>
                <a:cs typeface="+mn-cs"/>
              </a:rPr>
              <a:t>     </a:t>
            </a:r>
            <a:r>
              <a:rPr lang="en-IN" sz="1800" b="1" i="0" u="none" strike="noStrike" baseline="0">
                <a:solidFill>
                  <a:schemeClr val="bg1"/>
                </a:solidFill>
                <a:effectLst/>
                <a:latin typeface="+mn-lt"/>
                <a:ea typeface="+mn-ea"/>
                <a:cs typeface="+mn-cs"/>
              </a:rPr>
              <a:t>    284</a:t>
            </a:r>
            <a:r>
              <a:rPr lang="en-IN" sz="1800" b="1">
                <a:solidFill>
                  <a:schemeClr val="bg1"/>
                </a:solidFill>
                <a:effectLst/>
              </a:rPr>
              <a:t> </a:t>
            </a:r>
            <a:endParaRPr lang="en-IN" sz="1800" b="1">
              <a:solidFill>
                <a:schemeClr val="bg1"/>
              </a:solidFill>
            </a:endParaRPr>
          </a:p>
        </xdr:txBody>
      </xdr:sp>
      <xdr:sp macro="" textlink="">
        <xdr:nvSpPr>
          <xdr:cNvPr id="3" name="Oval 2">
            <a:extLst>
              <a:ext uri="{FF2B5EF4-FFF2-40B4-BE49-F238E27FC236}">
                <a16:creationId xmlns:a16="http://schemas.microsoft.com/office/drawing/2014/main" id="{FC2E22A4-371E-7402-69FA-433009479413}"/>
              </a:ext>
            </a:extLst>
          </xdr:cNvPr>
          <xdr:cNvSpPr/>
        </xdr:nvSpPr>
        <xdr:spPr>
          <a:xfrm>
            <a:off x="3512820" y="678180"/>
            <a:ext cx="441960" cy="4267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 name="Graphic 4" descr="Clipboard Checked with solid fill">
            <a:extLst>
              <a:ext uri="{FF2B5EF4-FFF2-40B4-BE49-F238E27FC236}">
                <a16:creationId xmlns:a16="http://schemas.microsoft.com/office/drawing/2014/main" id="{0AF35E4A-BBC3-3020-DCE5-57AD4724994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58540" y="731520"/>
            <a:ext cx="327660" cy="327660"/>
          </a:xfrm>
          <a:prstGeom prst="rect">
            <a:avLst/>
          </a:prstGeom>
        </xdr:spPr>
      </xdr:pic>
    </xdr:grpSp>
    <xdr:clientData/>
  </xdr:twoCellAnchor>
  <xdr:twoCellAnchor>
    <xdr:from>
      <xdr:col>8</xdr:col>
      <xdr:colOff>332740</xdr:colOff>
      <xdr:row>3</xdr:row>
      <xdr:rowOff>7620</xdr:rowOff>
    </xdr:from>
    <xdr:to>
      <xdr:col>11</xdr:col>
      <xdr:colOff>172720</xdr:colOff>
      <xdr:row>6</xdr:row>
      <xdr:rowOff>167640</xdr:rowOff>
    </xdr:to>
    <xdr:grpSp>
      <xdr:nvGrpSpPr>
        <xdr:cNvPr id="45" name="Group 44">
          <a:extLst>
            <a:ext uri="{FF2B5EF4-FFF2-40B4-BE49-F238E27FC236}">
              <a16:creationId xmlns:a16="http://schemas.microsoft.com/office/drawing/2014/main" id="{5DB46248-D858-B4A7-A51F-66349B3F3A3B}"/>
            </a:ext>
          </a:extLst>
        </xdr:cNvPr>
        <xdr:cNvGrpSpPr/>
      </xdr:nvGrpSpPr>
      <xdr:grpSpPr>
        <a:xfrm>
          <a:off x="5209540" y="556260"/>
          <a:ext cx="1668780" cy="708660"/>
          <a:chOff x="5209540" y="556260"/>
          <a:chExt cx="1668780" cy="708660"/>
        </a:xfrm>
      </xdr:grpSpPr>
      <xdr:sp macro="" textlink="">
        <xdr:nvSpPr>
          <xdr:cNvPr id="48" name="Rectangle: Rounded Corners 47">
            <a:extLst>
              <a:ext uri="{FF2B5EF4-FFF2-40B4-BE49-F238E27FC236}">
                <a16:creationId xmlns:a16="http://schemas.microsoft.com/office/drawing/2014/main" id="{4E5DFAAA-F21C-5502-FB93-D3F00707CC2E}"/>
              </a:ext>
            </a:extLst>
          </xdr:cNvPr>
          <xdr:cNvSpPr/>
        </xdr:nvSpPr>
        <xdr:spPr>
          <a:xfrm>
            <a:off x="5209540" y="556260"/>
            <a:ext cx="1668780" cy="708660"/>
          </a:xfrm>
          <a:prstGeom prst="roundRect">
            <a:avLst/>
          </a:prstGeom>
          <a:solidFill>
            <a:srgbClr val="081425"/>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IN" sz="1100" b="0" i="0" u="none" strike="noStrike" baseline="0">
                <a:solidFill>
                  <a:schemeClr val="lt1"/>
                </a:solidFill>
                <a:effectLst/>
                <a:latin typeface="+mn-lt"/>
                <a:ea typeface="+mn-ea"/>
                <a:cs typeface="+mn-cs"/>
              </a:rPr>
              <a:t>         </a:t>
            </a:r>
            <a:r>
              <a:rPr lang="en-IN" sz="1200" b="1">
                <a:solidFill>
                  <a:schemeClr val="bg2"/>
                </a:solidFill>
              </a:rPr>
              <a:t>Total Quantity</a:t>
            </a:r>
            <a:r>
              <a:rPr lang="en-IN" sz="1200" b="1" baseline="0">
                <a:solidFill>
                  <a:schemeClr val="bg2"/>
                </a:solidFill>
              </a:rPr>
              <a:t> sold</a:t>
            </a:r>
            <a:endParaRPr lang="en-IN" sz="1200" b="1">
              <a:solidFill>
                <a:schemeClr val="bg2"/>
              </a:solidFill>
            </a:endParaRPr>
          </a:p>
          <a:p>
            <a:pPr algn="ctr"/>
            <a:r>
              <a:rPr lang="en-IN" sz="1800" b="1" i="0" u="none" strike="noStrike">
                <a:solidFill>
                  <a:schemeClr val="bg2"/>
                </a:solidFill>
                <a:effectLst/>
                <a:latin typeface="+mn-lt"/>
                <a:ea typeface="+mn-ea"/>
                <a:cs typeface="+mn-cs"/>
              </a:rPr>
              <a:t>     </a:t>
            </a:r>
            <a:r>
              <a:rPr lang="en-IN" sz="1800" b="1" i="0" u="none" strike="noStrike" baseline="0">
                <a:solidFill>
                  <a:schemeClr val="bg2"/>
                </a:solidFill>
                <a:effectLst/>
                <a:latin typeface="+mn-lt"/>
                <a:ea typeface="+mn-ea"/>
                <a:cs typeface="+mn-cs"/>
              </a:rPr>
              <a:t>    275</a:t>
            </a:r>
            <a:r>
              <a:rPr lang="en-IN" sz="1800" b="1">
                <a:solidFill>
                  <a:schemeClr val="bg2"/>
                </a:solidFill>
                <a:effectLst/>
              </a:rPr>
              <a:t> </a:t>
            </a:r>
            <a:endParaRPr lang="en-IN" sz="1800" b="1">
              <a:solidFill>
                <a:schemeClr val="bg2"/>
              </a:solidFill>
            </a:endParaRPr>
          </a:p>
        </xdr:txBody>
      </xdr:sp>
      <xdr:sp macro="" textlink="">
        <xdr:nvSpPr>
          <xdr:cNvPr id="8" name="Oval 7">
            <a:extLst>
              <a:ext uri="{FF2B5EF4-FFF2-40B4-BE49-F238E27FC236}">
                <a16:creationId xmlns:a16="http://schemas.microsoft.com/office/drawing/2014/main" id="{A32EFBA2-1E5C-34C4-1AB8-8046CE95A6F6}"/>
              </a:ext>
            </a:extLst>
          </xdr:cNvPr>
          <xdr:cNvSpPr/>
        </xdr:nvSpPr>
        <xdr:spPr>
          <a:xfrm>
            <a:off x="5234940" y="769620"/>
            <a:ext cx="373380" cy="3657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Graphic 5" descr="Box with solid fill">
            <a:extLst>
              <a:ext uri="{FF2B5EF4-FFF2-40B4-BE49-F238E27FC236}">
                <a16:creationId xmlns:a16="http://schemas.microsoft.com/office/drawing/2014/main" id="{391456DE-4288-CC3E-5F64-DAA10787C85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250180" y="784860"/>
            <a:ext cx="335280" cy="335280"/>
          </a:xfrm>
          <a:prstGeom prst="rect">
            <a:avLst/>
          </a:prstGeom>
        </xdr:spPr>
      </xdr:pic>
    </xdr:grpSp>
    <xdr:clientData/>
  </xdr:twoCellAnchor>
  <xdr:twoCellAnchor>
    <xdr:from>
      <xdr:col>11</xdr:col>
      <xdr:colOff>278130</xdr:colOff>
      <xdr:row>3</xdr:row>
      <xdr:rowOff>7620</xdr:rowOff>
    </xdr:from>
    <xdr:to>
      <xdr:col>14</xdr:col>
      <xdr:colOff>118110</xdr:colOff>
      <xdr:row>6</xdr:row>
      <xdr:rowOff>167640</xdr:rowOff>
    </xdr:to>
    <xdr:grpSp>
      <xdr:nvGrpSpPr>
        <xdr:cNvPr id="53" name="Group 52">
          <a:extLst>
            <a:ext uri="{FF2B5EF4-FFF2-40B4-BE49-F238E27FC236}">
              <a16:creationId xmlns:a16="http://schemas.microsoft.com/office/drawing/2014/main" id="{05D42E2A-AE4C-0B25-5286-106122E948B5}"/>
            </a:ext>
          </a:extLst>
        </xdr:cNvPr>
        <xdr:cNvGrpSpPr/>
      </xdr:nvGrpSpPr>
      <xdr:grpSpPr>
        <a:xfrm>
          <a:off x="6983730" y="556260"/>
          <a:ext cx="1668780" cy="708660"/>
          <a:chOff x="6983730" y="556260"/>
          <a:chExt cx="1668780" cy="708660"/>
        </a:xfrm>
      </xdr:grpSpPr>
      <xdr:sp macro="" textlink="">
        <xdr:nvSpPr>
          <xdr:cNvPr id="49" name="Rectangle: Rounded Corners 48">
            <a:extLst>
              <a:ext uri="{FF2B5EF4-FFF2-40B4-BE49-F238E27FC236}">
                <a16:creationId xmlns:a16="http://schemas.microsoft.com/office/drawing/2014/main" id="{AB76B838-0B68-6A31-48CA-40234BDD3F17}"/>
              </a:ext>
            </a:extLst>
          </xdr:cNvPr>
          <xdr:cNvSpPr/>
        </xdr:nvSpPr>
        <xdr:spPr>
          <a:xfrm>
            <a:off x="6983730" y="556260"/>
            <a:ext cx="1668780" cy="708660"/>
          </a:xfrm>
          <a:prstGeom prst="roundRect">
            <a:avLst/>
          </a:prstGeom>
          <a:solidFill>
            <a:srgbClr val="081425"/>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IN" sz="1100" b="0" i="0" u="none" strike="noStrike" baseline="0">
                <a:solidFill>
                  <a:schemeClr val="lt1"/>
                </a:solidFill>
                <a:effectLst/>
                <a:latin typeface="+mn-lt"/>
                <a:ea typeface="+mn-ea"/>
                <a:cs typeface="+mn-cs"/>
              </a:rPr>
              <a:t>           </a:t>
            </a:r>
            <a:r>
              <a:rPr lang="en-IN" sz="1200" b="1" i="0" u="none" strike="noStrike" baseline="0">
                <a:solidFill>
                  <a:schemeClr val="bg2"/>
                </a:solidFill>
                <a:effectLst/>
                <a:latin typeface="+mn-lt"/>
                <a:ea typeface="+mn-ea"/>
                <a:cs typeface="+mn-cs"/>
              </a:rPr>
              <a:t>Cancelled orders</a:t>
            </a:r>
            <a:endParaRPr lang="en-IN" sz="1200" b="1">
              <a:solidFill>
                <a:schemeClr val="bg2"/>
              </a:solidFill>
            </a:endParaRPr>
          </a:p>
          <a:p>
            <a:pPr algn="ctr"/>
            <a:r>
              <a:rPr lang="en-IN" sz="1800" b="1" i="0" u="none" strike="noStrike">
                <a:solidFill>
                  <a:schemeClr val="bg2"/>
                </a:solidFill>
                <a:effectLst/>
                <a:latin typeface="+mn-lt"/>
                <a:ea typeface="+mn-ea"/>
                <a:cs typeface="+mn-cs"/>
              </a:rPr>
              <a:t>     </a:t>
            </a:r>
            <a:r>
              <a:rPr lang="en-IN" sz="1800" b="1" i="0" u="none" strike="noStrike" baseline="0">
                <a:solidFill>
                  <a:schemeClr val="bg2"/>
                </a:solidFill>
                <a:effectLst/>
                <a:latin typeface="+mn-lt"/>
                <a:ea typeface="+mn-ea"/>
                <a:cs typeface="+mn-cs"/>
              </a:rPr>
              <a:t>    16</a:t>
            </a:r>
            <a:r>
              <a:rPr lang="en-IN" sz="1800" b="1">
                <a:solidFill>
                  <a:schemeClr val="bg2"/>
                </a:solidFill>
                <a:effectLst/>
              </a:rPr>
              <a:t> </a:t>
            </a:r>
            <a:endParaRPr lang="en-IN" sz="1800" b="1">
              <a:solidFill>
                <a:schemeClr val="bg2"/>
              </a:solidFill>
            </a:endParaRPr>
          </a:p>
        </xdr:txBody>
      </xdr:sp>
      <xdr:sp macro="" textlink="">
        <xdr:nvSpPr>
          <xdr:cNvPr id="9" name="Oval 8">
            <a:extLst>
              <a:ext uri="{FF2B5EF4-FFF2-40B4-BE49-F238E27FC236}">
                <a16:creationId xmlns:a16="http://schemas.microsoft.com/office/drawing/2014/main" id="{DDF274A4-D035-E1BE-7267-2DB859F950A2}"/>
              </a:ext>
            </a:extLst>
          </xdr:cNvPr>
          <xdr:cNvSpPr/>
        </xdr:nvSpPr>
        <xdr:spPr>
          <a:xfrm>
            <a:off x="7033260" y="731520"/>
            <a:ext cx="342900" cy="3505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3" name="Graphic 12" descr="Close with solid fill">
            <a:extLst>
              <a:ext uri="{FF2B5EF4-FFF2-40B4-BE49-F238E27FC236}">
                <a16:creationId xmlns:a16="http://schemas.microsoft.com/office/drawing/2014/main" id="{F1E8DEC4-F2DE-B205-0B16-4DB85187168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71360" y="769620"/>
            <a:ext cx="289560" cy="289560"/>
          </a:xfrm>
          <a:prstGeom prst="rect">
            <a:avLst/>
          </a:prstGeom>
        </xdr:spPr>
      </xdr:pic>
    </xdr:grpSp>
    <xdr:clientData/>
  </xdr:twoCellAnchor>
  <xdr:twoCellAnchor>
    <xdr:from>
      <xdr:col>14</xdr:col>
      <xdr:colOff>223520</xdr:colOff>
      <xdr:row>3</xdr:row>
      <xdr:rowOff>7620</xdr:rowOff>
    </xdr:from>
    <xdr:to>
      <xdr:col>17</xdr:col>
      <xdr:colOff>63500</xdr:colOff>
      <xdr:row>6</xdr:row>
      <xdr:rowOff>167640</xdr:rowOff>
    </xdr:to>
    <xdr:grpSp>
      <xdr:nvGrpSpPr>
        <xdr:cNvPr id="55" name="Group 54">
          <a:extLst>
            <a:ext uri="{FF2B5EF4-FFF2-40B4-BE49-F238E27FC236}">
              <a16:creationId xmlns:a16="http://schemas.microsoft.com/office/drawing/2014/main" id="{5C7CED25-D0C4-57D2-829F-F7E7DC551C7F}"/>
            </a:ext>
          </a:extLst>
        </xdr:cNvPr>
        <xdr:cNvGrpSpPr/>
      </xdr:nvGrpSpPr>
      <xdr:grpSpPr>
        <a:xfrm>
          <a:off x="8757920" y="556260"/>
          <a:ext cx="1668780" cy="708660"/>
          <a:chOff x="8757920" y="556260"/>
          <a:chExt cx="1668780" cy="708660"/>
        </a:xfrm>
      </xdr:grpSpPr>
      <xdr:sp macro="" textlink="">
        <xdr:nvSpPr>
          <xdr:cNvPr id="50" name="Rectangle: Rounded Corners 49">
            <a:extLst>
              <a:ext uri="{FF2B5EF4-FFF2-40B4-BE49-F238E27FC236}">
                <a16:creationId xmlns:a16="http://schemas.microsoft.com/office/drawing/2014/main" id="{5360BB93-3375-4158-A44D-BF63F6D06EE3}"/>
              </a:ext>
            </a:extLst>
          </xdr:cNvPr>
          <xdr:cNvSpPr/>
        </xdr:nvSpPr>
        <xdr:spPr>
          <a:xfrm>
            <a:off x="8757920" y="556260"/>
            <a:ext cx="1668780" cy="708660"/>
          </a:xfrm>
          <a:prstGeom prst="roundRect">
            <a:avLst/>
          </a:prstGeom>
          <a:solidFill>
            <a:srgbClr val="081425"/>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IN" sz="1100" b="0" i="0" u="none" strike="noStrike" baseline="0">
                <a:solidFill>
                  <a:schemeClr val="lt1"/>
                </a:solidFill>
                <a:effectLst/>
                <a:latin typeface="+mn-lt"/>
                <a:ea typeface="+mn-ea"/>
                <a:cs typeface="+mn-cs"/>
              </a:rPr>
              <a:t>          </a:t>
            </a:r>
            <a:r>
              <a:rPr lang="en-IN" sz="1200" b="1" i="0" u="none" strike="noStrike" baseline="0">
                <a:solidFill>
                  <a:schemeClr val="bg2"/>
                </a:solidFill>
                <a:effectLst/>
                <a:latin typeface="+mn-lt"/>
                <a:ea typeface="+mn-ea"/>
                <a:cs typeface="+mn-cs"/>
              </a:rPr>
              <a:t>Completed orders</a:t>
            </a:r>
            <a:endParaRPr lang="en-IN" sz="1200" b="1">
              <a:solidFill>
                <a:schemeClr val="bg2"/>
              </a:solidFill>
            </a:endParaRPr>
          </a:p>
          <a:p>
            <a:pPr algn="ctr"/>
            <a:r>
              <a:rPr lang="en-IN" sz="1800" b="1" i="0" u="none" strike="noStrike">
                <a:solidFill>
                  <a:schemeClr val="bg2"/>
                </a:solidFill>
                <a:effectLst/>
                <a:latin typeface="+mn-lt"/>
                <a:ea typeface="+mn-ea"/>
                <a:cs typeface="+mn-cs"/>
              </a:rPr>
              <a:t>     </a:t>
            </a:r>
            <a:r>
              <a:rPr lang="en-IN" sz="1800" b="1" i="0" u="none" strike="noStrike" baseline="0">
                <a:solidFill>
                  <a:schemeClr val="bg2"/>
                </a:solidFill>
                <a:effectLst/>
                <a:latin typeface="+mn-lt"/>
                <a:ea typeface="+mn-ea"/>
                <a:cs typeface="+mn-cs"/>
              </a:rPr>
              <a:t>    267</a:t>
            </a:r>
            <a:r>
              <a:rPr lang="en-IN" sz="1800" b="1">
                <a:solidFill>
                  <a:schemeClr val="bg2"/>
                </a:solidFill>
                <a:effectLst/>
              </a:rPr>
              <a:t> </a:t>
            </a:r>
            <a:endParaRPr lang="en-IN" sz="1800" b="1">
              <a:solidFill>
                <a:schemeClr val="bg2"/>
              </a:solidFill>
            </a:endParaRPr>
          </a:p>
        </xdr:txBody>
      </xdr:sp>
      <xdr:sp macro="" textlink="">
        <xdr:nvSpPr>
          <xdr:cNvPr id="14" name="Oval 13">
            <a:extLst>
              <a:ext uri="{FF2B5EF4-FFF2-40B4-BE49-F238E27FC236}">
                <a16:creationId xmlns:a16="http://schemas.microsoft.com/office/drawing/2014/main" id="{1991D561-8FA2-1758-F095-E48ADA27D24F}"/>
              </a:ext>
            </a:extLst>
          </xdr:cNvPr>
          <xdr:cNvSpPr/>
        </xdr:nvSpPr>
        <xdr:spPr>
          <a:xfrm>
            <a:off x="8778240" y="716280"/>
            <a:ext cx="388620" cy="37338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0" name="Graphic 9" descr="Truck with solid fill">
            <a:extLst>
              <a:ext uri="{FF2B5EF4-FFF2-40B4-BE49-F238E27FC236}">
                <a16:creationId xmlns:a16="http://schemas.microsoft.com/office/drawing/2014/main" id="{A140F417-5AE6-59C6-7C0B-88F861FFF07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831580" y="739140"/>
            <a:ext cx="320040" cy="320040"/>
          </a:xfrm>
          <a:prstGeom prst="rect">
            <a:avLst/>
          </a:prstGeom>
        </xdr:spPr>
      </xdr:pic>
    </xdr:grpSp>
    <xdr:clientData/>
  </xdr:twoCellAnchor>
  <xdr:twoCellAnchor>
    <xdr:from>
      <xdr:col>17</xdr:col>
      <xdr:colOff>168910</xdr:colOff>
      <xdr:row>3</xdr:row>
      <xdr:rowOff>7620</xdr:rowOff>
    </xdr:from>
    <xdr:to>
      <xdr:col>20</xdr:col>
      <xdr:colOff>8890</xdr:colOff>
      <xdr:row>6</xdr:row>
      <xdr:rowOff>167640</xdr:rowOff>
    </xdr:to>
    <xdr:grpSp>
      <xdr:nvGrpSpPr>
        <xdr:cNvPr id="57" name="Group 56">
          <a:extLst>
            <a:ext uri="{FF2B5EF4-FFF2-40B4-BE49-F238E27FC236}">
              <a16:creationId xmlns:a16="http://schemas.microsoft.com/office/drawing/2014/main" id="{82634E46-6B42-2475-5B41-3024190EC809}"/>
            </a:ext>
          </a:extLst>
        </xdr:cNvPr>
        <xdr:cNvGrpSpPr/>
      </xdr:nvGrpSpPr>
      <xdr:grpSpPr>
        <a:xfrm>
          <a:off x="10532110" y="556260"/>
          <a:ext cx="1668780" cy="708660"/>
          <a:chOff x="10532110" y="556260"/>
          <a:chExt cx="1668780" cy="708660"/>
        </a:xfrm>
      </xdr:grpSpPr>
      <xdr:sp macro="" textlink="">
        <xdr:nvSpPr>
          <xdr:cNvPr id="51" name="Rectangle: Rounded Corners 50">
            <a:extLst>
              <a:ext uri="{FF2B5EF4-FFF2-40B4-BE49-F238E27FC236}">
                <a16:creationId xmlns:a16="http://schemas.microsoft.com/office/drawing/2014/main" id="{06384445-8050-A748-C89C-20361C9812EA}"/>
              </a:ext>
            </a:extLst>
          </xdr:cNvPr>
          <xdr:cNvSpPr/>
        </xdr:nvSpPr>
        <xdr:spPr>
          <a:xfrm>
            <a:off x="10532110" y="556260"/>
            <a:ext cx="1668780" cy="708660"/>
          </a:xfrm>
          <a:prstGeom prst="roundRect">
            <a:avLst/>
          </a:prstGeom>
          <a:solidFill>
            <a:srgbClr val="081425"/>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IN" sz="1100" b="0" i="0" u="none" strike="noStrike" baseline="0">
                <a:solidFill>
                  <a:schemeClr val="bg2"/>
                </a:solidFill>
                <a:effectLst/>
                <a:latin typeface="+mn-lt"/>
                <a:ea typeface="+mn-ea"/>
                <a:cs typeface="+mn-cs"/>
              </a:rPr>
              <a:t>           </a:t>
            </a:r>
            <a:r>
              <a:rPr lang="en-IN" sz="1200" b="1" i="0" u="none" strike="noStrike" baseline="0">
                <a:solidFill>
                  <a:schemeClr val="bg2"/>
                </a:solidFill>
                <a:effectLst/>
                <a:latin typeface="+mn-lt"/>
                <a:ea typeface="+mn-ea"/>
                <a:cs typeface="+mn-cs"/>
              </a:rPr>
              <a:t>Cancellation Rate</a:t>
            </a:r>
            <a:endParaRPr lang="en-IN" sz="1200" b="1">
              <a:solidFill>
                <a:schemeClr val="bg2"/>
              </a:solidFill>
            </a:endParaRPr>
          </a:p>
          <a:p>
            <a:pPr algn="ctr"/>
            <a:r>
              <a:rPr lang="en-IN" sz="1800" b="1" i="0" u="none" strike="noStrike">
                <a:solidFill>
                  <a:schemeClr val="bg2"/>
                </a:solidFill>
                <a:effectLst/>
                <a:latin typeface="+mn-lt"/>
                <a:ea typeface="+mn-ea"/>
                <a:cs typeface="+mn-cs"/>
              </a:rPr>
              <a:t>     </a:t>
            </a:r>
            <a:r>
              <a:rPr lang="en-IN" sz="1800" b="1" i="0" u="none" strike="noStrike" baseline="0">
                <a:solidFill>
                  <a:schemeClr val="bg2"/>
                </a:solidFill>
                <a:effectLst/>
                <a:latin typeface="+mn-lt"/>
                <a:ea typeface="+mn-ea"/>
                <a:cs typeface="+mn-cs"/>
              </a:rPr>
              <a:t>    5.63%</a:t>
            </a:r>
            <a:r>
              <a:rPr lang="en-IN" sz="1800" b="1">
                <a:solidFill>
                  <a:schemeClr val="bg2"/>
                </a:solidFill>
                <a:effectLst/>
              </a:rPr>
              <a:t> </a:t>
            </a:r>
            <a:endParaRPr lang="en-IN" sz="1800" b="1">
              <a:solidFill>
                <a:schemeClr val="bg2"/>
              </a:solidFill>
            </a:endParaRPr>
          </a:p>
        </xdr:txBody>
      </xdr:sp>
      <xdr:sp macro="" textlink="">
        <xdr:nvSpPr>
          <xdr:cNvPr id="15" name="Oval 14">
            <a:extLst>
              <a:ext uri="{FF2B5EF4-FFF2-40B4-BE49-F238E27FC236}">
                <a16:creationId xmlns:a16="http://schemas.microsoft.com/office/drawing/2014/main" id="{9B5C1DE3-8CFD-A9D1-024F-F56180D2DEB1}"/>
              </a:ext>
            </a:extLst>
          </xdr:cNvPr>
          <xdr:cNvSpPr/>
        </xdr:nvSpPr>
        <xdr:spPr>
          <a:xfrm>
            <a:off x="10561320" y="693420"/>
            <a:ext cx="365760" cy="381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7" name="Graphic 16" descr="Mortgage with solid fill">
            <a:extLst>
              <a:ext uri="{FF2B5EF4-FFF2-40B4-BE49-F238E27FC236}">
                <a16:creationId xmlns:a16="http://schemas.microsoft.com/office/drawing/2014/main" id="{03564AB7-DC8F-3A78-1AD3-E1943FE69F5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599420" y="701040"/>
            <a:ext cx="312420" cy="312420"/>
          </a:xfrm>
          <a:prstGeom prst="rect">
            <a:avLst/>
          </a:prstGeom>
        </xdr:spPr>
      </xdr:pic>
    </xdr:grpSp>
    <xdr:clientData/>
  </xdr:twoCellAnchor>
  <xdr:twoCellAnchor>
    <xdr:from>
      <xdr:col>20</xdr:col>
      <xdr:colOff>114300</xdr:colOff>
      <xdr:row>3</xdr:row>
      <xdr:rowOff>7620</xdr:rowOff>
    </xdr:from>
    <xdr:to>
      <xdr:col>23</xdr:col>
      <xdr:colOff>45720</xdr:colOff>
      <xdr:row>6</xdr:row>
      <xdr:rowOff>167640</xdr:rowOff>
    </xdr:to>
    <xdr:grpSp>
      <xdr:nvGrpSpPr>
        <xdr:cNvPr id="59" name="Group 58">
          <a:extLst>
            <a:ext uri="{FF2B5EF4-FFF2-40B4-BE49-F238E27FC236}">
              <a16:creationId xmlns:a16="http://schemas.microsoft.com/office/drawing/2014/main" id="{326DF5D2-3CB4-390B-F3EF-9A4BE7761BF4}"/>
            </a:ext>
          </a:extLst>
        </xdr:cNvPr>
        <xdr:cNvGrpSpPr/>
      </xdr:nvGrpSpPr>
      <xdr:grpSpPr>
        <a:xfrm>
          <a:off x="12306300" y="556260"/>
          <a:ext cx="1760220" cy="708660"/>
          <a:chOff x="12306300" y="556260"/>
          <a:chExt cx="1760220" cy="708660"/>
        </a:xfrm>
      </xdr:grpSpPr>
      <xdr:sp macro="" textlink="">
        <xdr:nvSpPr>
          <xdr:cNvPr id="52" name="Rectangle: Rounded Corners 51">
            <a:extLst>
              <a:ext uri="{FF2B5EF4-FFF2-40B4-BE49-F238E27FC236}">
                <a16:creationId xmlns:a16="http://schemas.microsoft.com/office/drawing/2014/main" id="{A1DB58AA-B034-67D0-E481-347F76337101}"/>
              </a:ext>
            </a:extLst>
          </xdr:cNvPr>
          <xdr:cNvSpPr/>
        </xdr:nvSpPr>
        <xdr:spPr>
          <a:xfrm>
            <a:off x="12306300" y="556260"/>
            <a:ext cx="1760220" cy="708660"/>
          </a:xfrm>
          <a:prstGeom prst="roundRect">
            <a:avLst/>
          </a:prstGeom>
          <a:solidFill>
            <a:srgbClr val="081425"/>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IN" sz="1100" b="0" i="0" u="none" strike="noStrike" baseline="0">
                <a:solidFill>
                  <a:schemeClr val="lt1"/>
                </a:solidFill>
                <a:effectLst/>
                <a:latin typeface="+mn-lt"/>
                <a:ea typeface="+mn-ea"/>
                <a:cs typeface="+mn-cs"/>
              </a:rPr>
              <a:t>     </a:t>
            </a:r>
            <a:r>
              <a:rPr lang="en-IN" sz="1200" b="1" i="0" u="none" strike="noStrike" baseline="0">
                <a:solidFill>
                  <a:schemeClr val="bg2"/>
                </a:solidFill>
                <a:effectLst/>
                <a:latin typeface="+mn-lt"/>
                <a:ea typeface="+mn-ea"/>
                <a:cs typeface="+mn-cs"/>
              </a:rPr>
              <a:t>Average order value</a:t>
            </a:r>
            <a:endParaRPr lang="en-IN" sz="1200" b="1">
              <a:solidFill>
                <a:schemeClr val="bg2"/>
              </a:solidFill>
            </a:endParaRPr>
          </a:p>
          <a:p>
            <a:pPr algn="ctr"/>
            <a:r>
              <a:rPr lang="en-IN" sz="1800" b="1" i="0" u="none" strike="noStrike">
                <a:solidFill>
                  <a:schemeClr val="bg2"/>
                </a:solidFill>
                <a:effectLst/>
                <a:latin typeface="+mn-lt"/>
                <a:ea typeface="+mn-ea"/>
                <a:cs typeface="+mn-cs"/>
              </a:rPr>
              <a:t>     </a:t>
            </a:r>
            <a:r>
              <a:rPr lang="en-IN" sz="1800" b="1" i="0" u="none" strike="noStrike" baseline="0">
                <a:solidFill>
                  <a:schemeClr val="bg2"/>
                </a:solidFill>
                <a:effectLst/>
                <a:latin typeface="+mn-lt"/>
                <a:ea typeface="+mn-ea"/>
                <a:cs typeface="+mn-cs"/>
              </a:rPr>
              <a:t>    639.1581</a:t>
            </a:r>
            <a:r>
              <a:rPr lang="en-IN" sz="1800" b="1">
                <a:solidFill>
                  <a:schemeClr val="bg2"/>
                </a:solidFill>
                <a:effectLst/>
              </a:rPr>
              <a:t> </a:t>
            </a:r>
            <a:endParaRPr lang="en-IN" sz="1800" b="1">
              <a:solidFill>
                <a:schemeClr val="bg2"/>
              </a:solidFill>
            </a:endParaRPr>
          </a:p>
        </xdr:txBody>
      </xdr:sp>
      <xdr:sp macro="" textlink="">
        <xdr:nvSpPr>
          <xdr:cNvPr id="25" name="Oval 24">
            <a:extLst>
              <a:ext uri="{FF2B5EF4-FFF2-40B4-BE49-F238E27FC236}">
                <a16:creationId xmlns:a16="http://schemas.microsoft.com/office/drawing/2014/main" id="{17638130-87F3-8C09-CDE2-0752A56CD3C3}"/>
              </a:ext>
            </a:extLst>
          </xdr:cNvPr>
          <xdr:cNvSpPr/>
        </xdr:nvSpPr>
        <xdr:spPr>
          <a:xfrm>
            <a:off x="12329160" y="784860"/>
            <a:ext cx="388620" cy="38862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2" name="Graphic 31" descr="Users with solid fill">
            <a:extLst>
              <a:ext uri="{FF2B5EF4-FFF2-40B4-BE49-F238E27FC236}">
                <a16:creationId xmlns:a16="http://schemas.microsoft.com/office/drawing/2014/main" id="{5A6817CD-39F3-52C6-3E55-F59DF3CA529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2344400" y="800100"/>
            <a:ext cx="358140" cy="358140"/>
          </a:xfrm>
          <a:prstGeom prst="rect">
            <a:avLst/>
          </a:prstGeom>
        </xdr:spPr>
      </xdr:pic>
    </xdr:grpSp>
    <xdr:clientData/>
  </xdr:twoCellAnchor>
  <xdr:twoCellAnchor>
    <xdr:from>
      <xdr:col>2</xdr:col>
      <xdr:colOff>342900</xdr:colOff>
      <xdr:row>7</xdr:row>
      <xdr:rowOff>30480</xdr:rowOff>
    </xdr:from>
    <xdr:to>
      <xdr:col>9</xdr:col>
      <xdr:colOff>350520</xdr:colOff>
      <xdr:row>16</xdr:row>
      <xdr:rowOff>114300</xdr:rowOff>
    </xdr:to>
    <xdr:grpSp>
      <xdr:nvGrpSpPr>
        <xdr:cNvPr id="63" name="Group 62">
          <a:extLst>
            <a:ext uri="{FF2B5EF4-FFF2-40B4-BE49-F238E27FC236}">
              <a16:creationId xmlns:a16="http://schemas.microsoft.com/office/drawing/2014/main" id="{082AF5B5-3A39-46B8-73CE-28C52CE0E1B0}"/>
            </a:ext>
          </a:extLst>
        </xdr:cNvPr>
        <xdr:cNvGrpSpPr/>
      </xdr:nvGrpSpPr>
      <xdr:grpSpPr>
        <a:xfrm>
          <a:off x="1562100" y="1310640"/>
          <a:ext cx="4274820" cy="1729740"/>
          <a:chOff x="1562100" y="1310640"/>
          <a:chExt cx="4274820" cy="1729740"/>
        </a:xfrm>
      </xdr:grpSpPr>
      <xdr:sp macro="" textlink="">
        <xdr:nvSpPr>
          <xdr:cNvPr id="30" name="Rectangle: Rounded Corners 29">
            <a:extLst>
              <a:ext uri="{FF2B5EF4-FFF2-40B4-BE49-F238E27FC236}">
                <a16:creationId xmlns:a16="http://schemas.microsoft.com/office/drawing/2014/main" id="{0BA44AE8-A997-27D9-690C-DFB1BFA55F76}"/>
              </a:ext>
            </a:extLst>
          </xdr:cNvPr>
          <xdr:cNvSpPr/>
        </xdr:nvSpPr>
        <xdr:spPr>
          <a:xfrm>
            <a:off x="1562100" y="1310640"/>
            <a:ext cx="4274820" cy="1729740"/>
          </a:xfrm>
          <a:prstGeom prst="roundRect">
            <a:avLst/>
          </a:prstGeom>
          <a:solidFill>
            <a:srgbClr val="081425"/>
          </a:solidFill>
          <a:ln>
            <a:solidFill>
              <a:srgbClr val="008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8" name="Chart 37">
            <a:extLst>
              <a:ext uri="{FF2B5EF4-FFF2-40B4-BE49-F238E27FC236}">
                <a16:creationId xmlns:a16="http://schemas.microsoft.com/office/drawing/2014/main" id="{05E26505-2CD9-4F35-9F1E-809E6A6DD85A}"/>
              </a:ext>
            </a:extLst>
          </xdr:cNvPr>
          <xdr:cNvGraphicFramePr>
            <a:graphicFrameLocks/>
          </xdr:cNvGraphicFramePr>
        </xdr:nvGraphicFramePr>
        <xdr:xfrm>
          <a:off x="1752600" y="1440180"/>
          <a:ext cx="3924300" cy="1501140"/>
        </xdr:xfrm>
        <a:graphic>
          <a:graphicData uri="http://schemas.openxmlformats.org/drawingml/2006/chart">
            <c:chart xmlns:c="http://schemas.openxmlformats.org/drawingml/2006/chart" xmlns:r="http://schemas.openxmlformats.org/officeDocument/2006/relationships" r:id="rId23"/>
          </a:graphicData>
        </a:graphic>
      </xdr:graphicFrame>
      <xdr:pic>
        <xdr:nvPicPr>
          <xdr:cNvPr id="46" name="Graphic 45" descr="Signal with solid fill">
            <a:extLst>
              <a:ext uri="{FF2B5EF4-FFF2-40B4-BE49-F238E27FC236}">
                <a16:creationId xmlns:a16="http://schemas.microsoft.com/office/drawing/2014/main" id="{FBFAEF50-5319-BF79-4367-0B44005BA105}"/>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318760" y="1424940"/>
            <a:ext cx="342900" cy="342900"/>
          </a:xfrm>
          <a:prstGeom prst="rect">
            <a:avLst/>
          </a:prstGeom>
        </xdr:spPr>
      </xdr:pic>
    </xdr:grpSp>
    <xdr:clientData/>
  </xdr:twoCellAnchor>
  <xdr:twoCellAnchor>
    <xdr:from>
      <xdr:col>9</xdr:col>
      <xdr:colOff>426720</xdr:colOff>
      <xdr:row>7</xdr:row>
      <xdr:rowOff>38100</xdr:rowOff>
    </xdr:from>
    <xdr:to>
      <xdr:col>16</xdr:col>
      <xdr:colOff>205740</xdr:colOff>
      <xdr:row>16</xdr:row>
      <xdr:rowOff>137160</xdr:rowOff>
    </xdr:to>
    <xdr:grpSp>
      <xdr:nvGrpSpPr>
        <xdr:cNvPr id="62" name="Group 61">
          <a:extLst>
            <a:ext uri="{FF2B5EF4-FFF2-40B4-BE49-F238E27FC236}">
              <a16:creationId xmlns:a16="http://schemas.microsoft.com/office/drawing/2014/main" id="{EE178337-80DB-3750-B605-C155F201917A}"/>
            </a:ext>
          </a:extLst>
        </xdr:cNvPr>
        <xdr:cNvGrpSpPr/>
      </xdr:nvGrpSpPr>
      <xdr:grpSpPr>
        <a:xfrm>
          <a:off x="5913120" y="1318260"/>
          <a:ext cx="4046220" cy="1744980"/>
          <a:chOff x="5913120" y="1318260"/>
          <a:chExt cx="4046220" cy="1744980"/>
        </a:xfrm>
      </xdr:grpSpPr>
      <xdr:sp macro="" textlink="">
        <xdr:nvSpPr>
          <xdr:cNvPr id="31" name="Rectangle: Rounded Corners 30">
            <a:extLst>
              <a:ext uri="{FF2B5EF4-FFF2-40B4-BE49-F238E27FC236}">
                <a16:creationId xmlns:a16="http://schemas.microsoft.com/office/drawing/2014/main" id="{C10307FC-20D9-72CD-9C57-1B45D48EE64C}"/>
              </a:ext>
            </a:extLst>
          </xdr:cNvPr>
          <xdr:cNvSpPr/>
        </xdr:nvSpPr>
        <xdr:spPr>
          <a:xfrm>
            <a:off x="5913120" y="1318260"/>
            <a:ext cx="4046220" cy="1744980"/>
          </a:xfrm>
          <a:prstGeom prst="roundRect">
            <a:avLst/>
          </a:prstGeom>
          <a:solidFill>
            <a:srgbClr val="081425"/>
          </a:solidFill>
          <a:ln>
            <a:solidFill>
              <a:srgbClr val="008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70654329-EFE2-4D77-B8BD-7BD60409300A}"/>
              </a:ext>
            </a:extLst>
          </xdr:cNvPr>
          <xdr:cNvGraphicFramePr>
            <a:graphicFrameLocks/>
          </xdr:cNvGraphicFramePr>
        </xdr:nvGraphicFramePr>
        <xdr:xfrm>
          <a:off x="6141720" y="1447800"/>
          <a:ext cx="3672840" cy="1546860"/>
        </xdr:xfrm>
        <a:graphic>
          <a:graphicData uri="http://schemas.openxmlformats.org/drawingml/2006/chart">
            <c:chart xmlns:c="http://schemas.openxmlformats.org/drawingml/2006/chart" xmlns:r="http://schemas.openxmlformats.org/officeDocument/2006/relationships" r:id="rId26"/>
          </a:graphicData>
        </a:graphic>
      </xdr:graphicFrame>
      <xdr:pic>
        <xdr:nvPicPr>
          <xdr:cNvPr id="54" name="Graphic 53" descr="Marker with solid fill">
            <a:extLst>
              <a:ext uri="{FF2B5EF4-FFF2-40B4-BE49-F238E27FC236}">
                <a16:creationId xmlns:a16="http://schemas.microsoft.com/office/drawing/2014/main" id="{CFE51B89-7A3B-78BA-7D63-A3B977F0EE0D}"/>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9425940" y="1371600"/>
            <a:ext cx="396240" cy="396240"/>
          </a:xfrm>
          <a:prstGeom prst="rect">
            <a:avLst/>
          </a:prstGeom>
        </xdr:spPr>
      </xdr:pic>
    </xdr:grpSp>
    <xdr:clientData/>
  </xdr:twoCellAnchor>
  <xdr:twoCellAnchor editAs="oneCell">
    <xdr:from>
      <xdr:col>21</xdr:col>
      <xdr:colOff>563880</xdr:colOff>
      <xdr:row>7</xdr:row>
      <xdr:rowOff>167640</xdr:rowOff>
    </xdr:from>
    <xdr:to>
      <xdr:col>22</xdr:col>
      <xdr:colOff>320040</xdr:colOff>
      <xdr:row>9</xdr:row>
      <xdr:rowOff>167640</xdr:rowOff>
    </xdr:to>
    <xdr:pic>
      <xdr:nvPicPr>
        <xdr:cNvPr id="56" name="Graphic 55" descr="Checklist with solid fill">
          <a:extLst>
            <a:ext uri="{FF2B5EF4-FFF2-40B4-BE49-F238E27FC236}">
              <a16:creationId xmlns:a16="http://schemas.microsoft.com/office/drawing/2014/main" id="{675CCF8E-80BB-653F-581B-7C61BC4400D3}"/>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3365480" y="1447800"/>
          <a:ext cx="365760" cy="365760"/>
        </a:xfrm>
        <a:prstGeom prst="rect">
          <a:avLst/>
        </a:prstGeom>
      </xdr:spPr>
    </xdr:pic>
    <xdr:clientData/>
  </xdr:twoCellAnchor>
  <xdr:twoCellAnchor>
    <xdr:from>
      <xdr:col>2</xdr:col>
      <xdr:colOff>320040</xdr:colOff>
      <xdr:row>17</xdr:row>
      <xdr:rowOff>7620</xdr:rowOff>
    </xdr:from>
    <xdr:to>
      <xdr:col>7</xdr:col>
      <xdr:colOff>358140</xdr:colOff>
      <xdr:row>26</xdr:row>
      <xdr:rowOff>167640</xdr:rowOff>
    </xdr:to>
    <xdr:grpSp>
      <xdr:nvGrpSpPr>
        <xdr:cNvPr id="65" name="Group 64">
          <a:extLst>
            <a:ext uri="{FF2B5EF4-FFF2-40B4-BE49-F238E27FC236}">
              <a16:creationId xmlns:a16="http://schemas.microsoft.com/office/drawing/2014/main" id="{B45C4F2A-B7DA-2191-008F-0177E58C4308}"/>
            </a:ext>
          </a:extLst>
        </xdr:cNvPr>
        <xdr:cNvGrpSpPr/>
      </xdr:nvGrpSpPr>
      <xdr:grpSpPr>
        <a:xfrm>
          <a:off x="1539240" y="3116580"/>
          <a:ext cx="3086100" cy="1805940"/>
          <a:chOff x="1539240" y="3116580"/>
          <a:chExt cx="3086100" cy="1805940"/>
        </a:xfrm>
      </xdr:grpSpPr>
      <xdr:sp macro="" textlink="">
        <xdr:nvSpPr>
          <xdr:cNvPr id="34" name="Rectangle: Rounded Corners 33">
            <a:extLst>
              <a:ext uri="{FF2B5EF4-FFF2-40B4-BE49-F238E27FC236}">
                <a16:creationId xmlns:a16="http://schemas.microsoft.com/office/drawing/2014/main" id="{A872BEEE-7AC9-073A-5337-1B04A2F31DDC}"/>
              </a:ext>
            </a:extLst>
          </xdr:cNvPr>
          <xdr:cNvSpPr/>
        </xdr:nvSpPr>
        <xdr:spPr>
          <a:xfrm>
            <a:off x="1539240" y="3116580"/>
            <a:ext cx="3086100" cy="1805940"/>
          </a:xfrm>
          <a:prstGeom prst="roundRect">
            <a:avLst/>
          </a:prstGeom>
          <a:solidFill>
            <a:srgbClr val="081425"/>
          </a:solidFill>
          <a:ln>
            <a:solidFill>
              <a:srgbClr val="008C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1" name="Chart 40">
            <a:extLst>
              <a:ext uri="{FF2B5EF4-FFF2-40B4-BE49-F238E27FC236}">
                <a16:creationId xmlns:a16="http://schemas.microsoft.com/office/drawing/2014/main" id="{679E2C29-5BD2-4260-8A86-AB4B4E050C6A}"/>
              </a:ext>
            </a:extLst>
          </xdr:cNvPr>
          <xdr:cNvGraphicFramePr>
            <a:graphicFrameLocks/>
          </xdr:cNvGraphicFramePr>
        </xdr:nvGraphicFramePr>
        <xdr:xfrm>
          <a:off x="1661160" y="3246120"/>
          <a:ext cx="2849880" cy="1554480"/>
        </xdr:xfrm>
        <a:graphic>
          <a:graphicData uri="http://schemas.openxmlformats.org/drawingml/2006/chart">
            <c:chart xmlns:c="http://schemas.openxmlformats.org/drawingml/2006/chart" xmlns:r="http://schemas.openxmlformats.org/officeDocument/2006/relationships" r:id="rId31"/>
          </a:graphicData>
        </a:graphic>
      </xdr:graphicFrame>
      <xdr:pic>
        <xdr:nvPicPr>
          <xdr:cNvPr id="58" name="Graphic 57" descr="Truck with solid fill">
            <a:extLst>
              <a:ext uri="{FF2B5EF4-FFF2-40B4-BE49-F238E27FC236}">
                <a16:creationId xmlns:a16="http://schemas.microsoft.com/office/drawing/2014/main" id="{4AE88384-62A8-B4EB-B130-B6341332A2AE}"/>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4122420" y="3147060"/>
            <a:ext cx="373380" cy="373380"/>
          </a:xfrm>
          <a:prstGeom prst="rect">
            <a:avLst/>
          </a:prstGeom>
        </xdr:spPr>
      </xdr:pic>
    </xdr:grpSp>
    <xdr:clientData/>
  </xdr:twoCellAnchor>
</xdr:wsDr>
</file>

<file path=xl/drawings/drawing9.xml><?xml version="1.0" encoding="utf-8"?>
<c:userShapes xmlns:c="http://schemas.openxmlformats.org/drawingml/2006/chart">
  <cdr:relSizeAnchor xmlns:cdr="http://schemas.openxmlformats.org/drawingml/2006/chartDrawing">
    <cdr:from>
      <cdr:x>0.84181</cdr:x>
      <cdr:y>0.0098</cdr:y>
    </cdr:from>
    <cdr:to>
      <cdr:x>0.95763</cdr:x>
      <cdr:y>0.21078</cdr:y>
    </cdr:to>
    <cdr:pic>
      <cdr:nvPicPr>
        <cdr:cNvPr id="3" name="Graphic 2" descr="Shirt with solid fill">
          <a:extLst xmlns:a="http://schemas.openxmlformats.org/drawingml/2006/main">
            <a:ext uri="{FF2B5EF4-FFF2-40B4-BE49-F238E27FC236}">
              <a16:creationId xmlns:a16="http://schemas.microsoft.com/office/drawing/2014/main" id="{BD674ABE-42D0-37E3-6F48-0B0C4B326D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270760" y="15240"/>
          <a:ext cx="312420" cy="312420"/>
        </a:xfrm>
        <a:prstGeom xmlns:a="http://schemas.openxmlformats.org/drawingml/2006/main" prst="rect">
          <a:avLst/>
        </a:prstGeom>
      </cdr:spPr>
    </cdr:pic>
  </cdr:relSizeAnchor>
</c:userShapes>
</file>

<file path=xl/drawings/drawing10.xml><?xml version="1.0" encoding="utf-8"?>
<c:userShapes xmlns:c="http://schemas.openxmlformats.org/drawingml/2006/chart">
  <cdr:relSizeAnchor xmlns:cdr="http://schemas.openxmlformats.org/drawingml/2006/chartDrawing">
    <cdr:from>
      <cdr:x>0.83379</cdr:x>
      <cdr:y>0.01471</cdr:y>
    </cdr:from>
    <cdr:to>
      <cdr:x>0.94823</cdr:x>
      <cdr:y>0.22059</cdr:y>
    </cdr:to>
    <cdr:pic>
      <cdr:nvPicPr>
        <cdr:cNvPr id="5" name="Graphic 4" descr="Crown with solid fill">
          <a:extLst xmlns:a="http://schemas.openxmlformats.org/drawingml/2006/main">
            <a:ext uri="{FF2B5EF4-FFF2-40B4-BE49-F238E27FC236}">
              <a16:creationId xmlns:a16="http://schemas.microsoft.com/office/drawing/2014/main" id="{E66B0DAF-4466-4EF4-9E8E-C3E1DA0E65A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331720" y="22860"/>
          <a:ext cx="320040" cy="320040"/>
        </a:xfrm>
        <a:prstGeom xmlns:a="http://schemas.openxmlformats.org/drawingml/2006/main" prst="rect">
          <a:avLst/>
        </a:prstGeom>
      </cdr:spPr>
    </cdr:pic>
  </cdr:relSizeAnchor>
</c:userShapes>
</file>

<file path=xl/drawings/drawing11.xml><?xml version="1.0" encoding="utf-8"?>
<c:userShapes xmlns:c="http://schemas.openxmlformats.org/drawingml/2006/chart">
  <cdr:relSizeAnchor xmlns:cdr="http://schemas.openxmlformats.org/drawingml/2006/chartDrawing">
    <cdr:from>
      <cdr:x>0.75637</cdr:x>
      <cdr:y>0.02941</cdr:y>
    </cdr:from>
    <cdr:to>
      <cdr:x>0.89518</cdr:x>
      <cdr:y>0.26961</cdr:y>
    </cdr:to>
    <cdr:pic>
      <cdr:nvPicPr>
        <cdr:cNvPr id="3" name="Graphic 2" descr="Users with solid fill">
          <a:extLst xmlns:a="http://schemas.openxmlformats.org/drawingml/2006/main">
            <a:ext uri="{FF2B5EF4-FFF2-40B4-BE49-F238E27FC236}">
              <a16:creationId xmlns:a16="http://schemas.microsoft.com/office/drawing/2014/main" id="{458DD8FB-A95E-48E9-284F-1C7B3143B2C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034540" y="45720"/>
          <a:ext cx="373380" cy="37338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ILA  BENZY" refreshedDate="46166.95458229167" createdVersion="8" refreshedVersion="8" minRefreshableVersion="3" recordCount="283" xr:uid="{37E96A3C-82C4-4787-961F-6B4A1006499A}">
  <cacheSource type="worksheet">
    <worksheetSource name="Table1"/>
  </cacheSource>
  <cacheFields count="19">
    <cacheField name="Order ID" numFmtId="0">
      <sharedItems/>
    </cacheField>
    <cacheField name="Date" numFmtId="14">
      <sharedItems containsSemiMixedTypes="0" containsNonDate="0" containsDate="1" containsString="0" minDate="2022-04-30T00:00:00" maxDate="2022-05-01T00:00:00"/>
    </cacheField>
    <cacheField name="Status" numFmtId="0">
      <sharedItems/>
    </cacheField>
    <cacheField name="Order status" numFmtId="0">
      <sharedItems count="2">
        <s v="Cancelled"/>
        <s v="Completed"/>
      </sharedItems>
    </cacheField>
    <cacheField name="Fulfilment" numFmtId="0">
      <sharedItems/>
    </cacheField>
    <cacheField name="Sales Channel " numFmtId="0">
      <sharedItems/>
    </cacheField>
    <cacheField name="ship-service-level" numFmtId="0">
      <sharedItems/>
    </cacheField>
    <cacheField name="SKU" numFmtId="0">
      <sharedItems count="255">
        <s v="SET389-KR-NP-S"/>
        <s v="JNE3781-KR-XXXL"/>
        <s v="JNE3371-KR-XL"/>
        <s v="J0341-DR-L"/>
        <s v="JNE3671-TU-XXXL"/>
        <s v="SET264-KR-NP-XL"/>
        <s v="J0095-SET-L"/>
        <s v="JNE3405-KR-S"/>
        <s v="JNE3461-KR-XXL"/>
        <s v="JNE3160-KR-G-S"/>
        <s v="JNE3500-KR-XS"/>
        <s v="JNE3405-KR-XS"/>
        <s v="SET182-KR-DH-XS"/>
        <s v="J0351-SET-L"/>
        <s v="PJNE3368-KR-6XL"/>
        <s v="JNE3721-KR-XXL"/>
        <s v="JNE3405-KR-XL"/>
        <s v="JNE3697-KR-XXL"/>
        <s v="SET254-KR-NP-XS"/>
        <s v="JNE3795-KR-XXXL"/>
        <s v="SET345-KR-NP-M"/>
        <s v="JNE3373-KR-L"/>
        <s v="SET291-KR-PP-M"/>
        <s v="MEN5002-KR-L"/>
        <s v="NW030-TP-PJ-XS"/>
        <s v="JNE3415-KR-XXXL"/>
        <s v="PJNE2199-KR-N-4XL"/>
        <s v="JNE3567-KR-M"/>
        <s v="J0341-DR-S"/>
        <s v="MEN5009-KR-XL"/>
        <s v="J0011-LCD-M"/>
        <s v="JNE3766-KR-M"/>
        <s v="JNE3373-KR-XL"/>
        <s v="MEN5001-KR-XL"/>
        <s v="SET345-KR-NP-L"/>
        <s v="JNE3787-KR-S"/>
        <s v="JNE3543-KR-S"/>
        <s v="JNE3405-KR-L"/>
        <s v="J0211-DR-XXL"/>
        <s v="J0401-DR-XXXL"/>
        <s v="JNE2153-KR-278-A-M"/>
        <s v="SET360-KR-NP-M"/>
        <s v="SET268-KR-NP-L"/>
        <s v="SET183-KR-DH-S"/>
        <s v="J0230-SKD-L"/>
        <s v="JNE3744-TU-S"/>
        <s v="JNE3510-KR-S"/>
        <s v="JNE3405-KR-M"/>
        <s v="J0186-SET-S"/>
        <s v="J0003-SET-M"/>
        <s v="SET282-KR-PP-M"/>
        <s v="JNE1407-BLACK-KR-UDF18-XL"/>
        <s v="J0301-TP-L"/>
        <s v="JNE3869-DR-S"/>
        <s v="SET324-KR-NP-XS"/>
        <s v="SET279-LC-S"/>
        <s v="JNE2014-KR-178-XXL"/>
        <s v="NW005-ST-PJ-XL"/>
        <s v="JNE2270-KR-487-A-M"/>
        <s v="JNE3579-KR-M"/>
        <s v="SET347-KR-NP-XS"/>
        <s v="SET264-KR-NP-M"/>
        <s v="SET333-KR-DPT-XXL"/>
        <s v="JNE3645-TP-N-L"/>
        <s v="SET233-KR-PP-L"/>
        <s v="J0381-SKD-XXXL"/>
        <s v="JNE3068-KR-A-XL"/>
        <s v="JNE3718-KR-M"/>
        <s v="SET386-KR-NP-S"/>
        <s v="JNE3745-KR-XXL"/>
        <s v="JNE3467-KR-XL"/>
        <s v="JNE3721-KR-L"/>
        <s v="JNE3405-KR-XXL"/>
        <s v="SET295-KR-NP-XXXL"/>
        <s v="JNE3861-DR-XL"/>
        <s v="SET288-KR-NP-XXXL"/>
        <s v="SET394-KR-NP-XXXL"/>
        <s v="SET397-KR-NP-XXXL"/>
        <s v="MEN5002-KR-XXL"/>
        <s v="SET377-KR-NP-M"/>
        <s v="BTM038-PP-XXXL"/>
        <s v="J0343-DR-M"/>
        <s v="J0341-DR-XL"/>
        <s v="J0295-DR-XXL"/>
        <s v="JNE3560-KR-M"/>
        <s v="J0333-DR-XXXL"/>
        <s v="SET389-KR-NP-M"/>
        <s v="JNE3801-KR-XXXL"/>
        <s v="SET098-KR-PP-M"/>
        <s v="MEN5013-KR-L"/>
        <s v="J0003-SET-L"/>
        <s v="JNE3718-KR-XXXL"/>
        <s v="SET347-KR-NP-S"/>
        <s v="JNE3391-KR-XXL"/>
        <s v="SET277-KR-NP-XXL"/>
        <s v="J0293-DR-S"/>
        <s v="SET154-KR-NP-XL"/>
        <s v="JNE3439-KR-XL"/>
        <s v="SET291-KR-PP-XL"/>
        <s v="SET293-KR-NP-M"/>
        <s v="JNE3648-TP-N-M"/>
        <s v="JNE3334-KR-M"/>
        <s v="SET331-KR-NP-XS"/>
        <s v="SET265-KR-NP-S"/>
        <s v="JNE3718-KR-S"/>
        <s v="SET397-KR-NP  -M"/>
        <s v="JNE3861-DR-XXL"/>
        <s v="J0335-DR-XL"/>
        <s v="J0335-DR-XXL"/>
        <s v="JNE1525-KR-UDF19-A-S"/>
        <s v="JNE3654-TP-XL"/>
        <s v="JNE3261-KR-S"/>
        <s v="SET324-KR-NP-S"/>
        <s v="SET332-KR-PP-S"/>
        <s v="SET324-KR-NP-XXXL"/>
        <s v="SET280-KR-PP-S"/>
        <s v="JNE3618-KR-XXL"/>
        <s v="SET304-KR-DPT-XS"/>
        <s v="MEN5032-KR-XXXL"/>
        <s v="SET110-KR-PP-XXL"/>
        <s v="SET324-KR-NP-M"/>
        <s v="JNE3794-KR-M"/>
        <s v="JNE3291-KR-XXL"/>
        <s v="JNE3440-KR-N-XXXL"/>
        <s v="JNE2270-KR-487-A-XXL"/>
        <s v="JNE3261-KR-M"/>
        <s v="SET110-KR-PP-M"/>
        <s v="JNE3810-KR-S"/>
        <s v="JNE3461-KR-XL"/>
        <s v="JNE3429-KR-XL"/>
        <s v="JNE3710-DR-S"/>
        <s v="J0113-TP-XS"/>
        <s v="SET355-KR-PP-M"/>
        <s v="J0009-SKD-S"/>
        <s v="J0248-KR-DPT-XL"/>
        <s v="JNE3560-KR-XL"/>
        <s v="JNE3373-KR-XXXL"/>
        <s v="SET398-KR-PP-L"/>
        <s v="NW032-ST-CP-XXL"/>
        <s v="SET361-KR-NP-S"/>
        <s v="JNE3797-KR-L"/>
        <s v="JNE3870-DR-XXL"/>
        <s v="SET345-KR-NP-XS"/>
        <s v="NW013-ST-SR-L"/>
        <s v="JNE2014-KR-178-XL"/>
        <s v="JNE3612-KR-S"/>
        <s v="PJNE2100-KR-N-6XL"/>
        <s v="SET398-KR-PP-XXXL"/>
        <s v="J0006-SET-M"/>
        <s v="JNE3437-KR-S"/>
        <s v="JNE3465-KR-S"/>
        <s v="J0373-KR-XXXL"/>
        <s v="J0344-TP-XXXL"/>
        <s v="J0118-TP-XXL"/>
        <s v="SET200-KR-NP-A-XS"/>
        <s v="JNE1998-KR-311-XXL"/>
        <s v="MEN5004-KR-XXXL"/>
        <s v="SET345-KR-NP-XXL"/>
        <s v="JNE3654-TP-L"/>
        <s v="J0344-TP-L"/>
        <s v="J0334-TP-L"/>
        <s v="J0230-SKD-S"/>
        <s v="JNE1233-BLUE-KR-031-XXL"/>
        <s v="J0295-DR-M"/>
        <s v="SET324-KR-NP-L"/>
        <s v="J0147-SET-XL"/>
        <s v="J0308-DR-L"/>
        <s v="NW030-TP-PJ-L"/>
        <s v="SET360-KR-NP-XL"/>
        <s v="PJNE3373-KR-N-6XL"/>
        <s v="JNE3449-KR-XXL"/>
        <s v="JNE3786-KR-S"/>
        <s v="J0003-SET-XXL"/>
        <s v="J0314-KR-M"/>
        <s v="J0341-DR-M"/>
        <s v="PJNE3068-KR-4XL"/>
        <s v="J0340-TP-M"/>
        <s v="JNE3687-TU-M"/>
        <s v="J0376-SKD-L"/>
        <s v="J0198-TP-S"/>
        <s v="JNE3453-KR-S"/>
        <s v="SET398-KR-PP-M"/>
        <s v="NW033-ST-CP-XXXL"/>
        <s v="NW037-TP-SR-XXXL"/>
        <s v="JNE3618-KR-M"/>
        <s v="SET290-KR-DPT-M"/>
        <s v="JNE3568-KR-XXL"/>
        <s v="J0003-SET-XXXL"/>
        <s v="JNE2153-KR-278-A-S"/>
        <s v="JNE3645-TP-N-XS"/>
        <s v="JNE3662-TP-XS"/>
        <s v="JNE3440-KR-N-L"/>
        <s v="SET331-KR-NP-S"/>
        <s v="J0301-TP-M"/>
        <s v="MEN5004-KR-XL"/>
        <s v="J0352-KR-S"/>
        <s v="JNE3160-KR-G-XXL"/>
        <s v="JNE3798-KR-M"/>
        <s v="JNE3690-TU-XL"/>
        <s v="SET355-KR-PP-XXL"/>
        <s v="SET317-KR-PP-XXL"/>
        <s v="SET375-KR-NP-XL"/>
        <s v="JNE3371-KR-M"/>
        <s v="SET116-KR-NP-XL"/>
        <s v="SET147-KR-NP-XL"/>
        <s v="SET397-KR-NP-XL"/>
        <s v="SET300-KR-NP-L"/>
        <s v="JNE3384-KR-M"/>
        <s v="JNE3291-KR-XL"/>
        <s v="SET291-KR-PP-L"/>
        <s v="JNE3399-KR-L"/>
        <s v="JNE3440-KR-N-XS"/>
        <s v="SET363-KR-NP-XXL"/>
        <s v="J0348-SET-S"/>
        <s v="J0399-DR-M"/>
        <s v="JNE3797-KR-M"/>
        <s v="J0285-SKD-M"/>
        <s v="SET322-KR-SHA-XL"/>
        <s v="MEN5021-KR-XL"/>
        <s v="PJ0096-KR-N-5XL"/>
        <s v="JNE3461-KR-M"/>
        <s v="SET383-KR-NP-L"/>
        <s v="J0002-SKD-XXXL"/>
        <s v="SET344-KR-NP-XXXL"/>
        <s v="JNE3465-KR-XXL"/>
        <s v="SET324-KR-NP-XXL"/>
        <s v="SET184-KR-PP-XXXL"/>
        <s v="J0008-SKD-S"/>
        <s v="J0008-SKD-XXL"/>
        <s v="J0013-SKD-XXL"/>
        <s v="J0208-DR-S"/>
        <s v="SET344-KR-NP-XL"/>
        <s v="NW001-TP-PJ-XXL"/>
        <s v="SET304-KR-DPT-S"/>
        <s v="SET004-KR-SP-A-S"/>
        <s v="J0012-SKD-M"/>
        <s v="JNE3465-KR-M"/>
        <s v="SET374-KR-NP-XS"/>
        <s v="JNE3567-KR-XL"/>
        <s v="J0041-SET-M"/>
        <s v="JNE3611-KR-XL"/>
        <s v="SET384-KR-NP-XS"/>
        <s v="JNE3802-KR-M"/>
        <s v="JNE3635-KR-L"/>
        <s v="J0118-TP-XXXL"/>
        <s v="JNE3654-TP-XS"/>
        <s v="JNE3652-TP-N-XL"/>
        <s v="J0339-DR-L"/>
        <s v="SET303-KR-NP-XL"/>
        <s v="JNE3396-KR-XXXL"/>
        <s v="J0340-TP-XS"/>
        <s v="J0335-DR-S"/>
        <s v="J0008-SKD-L"/>
        <s v="SET268-KR-NP-XS"/>
        <s v="J0280-SKD-S"/>
      </sharedItems>
    </cacheField>
    <cacheField name="Category" numFmtId="0">
      <sharedItems count="6">
        <s v="Set"/>
        <s v="kurta"/>
        <s v="Western Dress"/>
        <s v="Top"/>
        <s v="Ethnic Dress"/>
        <s v="Bottom"/>
      </sharedItems>
    </cacheField>
    <cacheField name="Size" numFmtId="0">
      <sharedItems count="10">
        <s v="S"/>
        <s v="3XL"/>
        <s v="XL"/>
        <s v="L"/>
        <s v="XXL"/>
        <s v="XS"/>
        <s v="6XL"/>
        <s v="M"/>
        <s v="4XL"/>
        <s v="5XL"/>
      </sharedItems>
    </cacheField>
    <cacheField name="Courier Status" numFmtId="0">
      <sharedItems containsBlank="1"/>
    </cacheField>
    <cacheField name="Qty" numFmtId="0">
      <sharedItems containsSemiMixedTypes="0" containsString="0" containsNumber="1" containsInteger="1" minValue="0" maxValue="2"/>
    </cacheField>
    <cacheField name="currency" numFmtId="0">
      <sharedItems/>
    </cacheField>
    <cacheField name="Amount" numFmtId="0">
      <sharedItems containsSemiMixedTypes="0" containsString="0" containsNumber="1" minValue="0" maxValue="2130"/>
    </cacheField>
    <cacheField name="ship-city" numFmtId="0">
      <sharedItems/>
    </cacheField>
    <cacheField name="ship-state" numFmtId="0">
      <sharedItems count="27">
        <s v="MAHARASHTRA"/>
        <s v="KARNATAKA"/>
        <s v="PUDUCHERRY"/>
        <s v="TAMIL NADU"/>
        <s v="UTTAR PRADESH"/>
        <s v="CHANDIGARH"/>
        <s v="TELANGANA"/>
        <s v="ANDHRA PRADESH"/>
        <s v="RAJASTHAN"/>
        <s v="DELHI"/>
        <s v="HARYANA"/>
        <s v="ASSAM"/>
        <s v="JHARKHAND"/>
        <s v="CHHATTISGARH"/>
        <s v="ODISHA"/>
        <s v="KERALA"/>
        <s v="MADHYA PRADESH"/>
        <s v="WEST BENGAL"/>
        <s v="NAGALAND"/>
        <s v="Gujarat"/>
        <s v="UTTARAKHAND"/>
        <s v="BIHAR"/>
        <s v="JAMMU &amp; KASHMIR"/>
        <s v="PUNJAB"/>
        <s v="HIMACHAL PRADESH"/>
        <s v="ARUNACHAL PRADESH"/>
        <s v="MANIPUR"/>
      </sharedItems>
    </cacheField>
    <cacheField name="ship-country" numFmtId="0">
      <sharedItems/>
    </cacheField>
    <cacheField name="B2B" numFmtId="0">
      <sharedItems count="2">
        <b v="0"/>
        <b v="1"/>
      </sharedItems>
    </cacheField>
    <cacheField name="fulfilled-by" numFmtId="0">
      <sharedItems containsBlank="1" count="2">
        <s v="Easy Ship"/>
        <m/>
      </sharedItems>
    </cacheField>
  </cacheFields>
  <extLst>
    <ext xmlns:x14="http://schemas.microsoft.com/office/spreadsheetml/2009/9/main" uri="{725AE2AE-9491-48be-B2B4-4EB974FC3084}">
      <x14:pivotCacheDefinition pivotCacheId="1541438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3">
  <r>
    <s v="405-8078784-5731545"/>
    <d v="2022-04-30T00:00:00"/>
    <s v="Cancelled"/>
    <x v="0"/>
    <s v="Merchant"/>
    <s v="Amazon.in"/>
    <s v="Standard"/>
    <x v="0"/>
    <x v="0"/>
    <x v="0"/>
    <m/>
    <n v="0"/>
    <s v="INR"/>
    <n v="647.62"/>
    <s v="MUMBAI"/>
    <x v="0"/>
    <s v="IN"/>
    <x v="0"/>
    <x v="0"/>
  </r>
  <r>
    <s v="171-9198151-1101146"/>
    <d v="2022-04-30T00:00:00"/>
    <s v="Shipped - Delivered to Buyer"/>
    <x v="1"/>
    <s v="Merchant"/>
    <s v="Amazon.in"/>
    <s v="Standard"/>
    <x v="1"/>
    <x v="1"/>
    <x v="1"/>
    <s v="Shipped"/>
    <n v="1"/>
    <s v="INR"/>
    <n v="406"/>
    <s v="BENGALURU"/>
    <x v="1"/>
    <s v="IN"/>
    <x v="0"/>
    <x v="0"/>
  </r>
  <r>
    <s v="404-0687676-7273146"/>
    <d v="2022-04-30T00:00:00"/>
    <s v="Shipped"/>
    <x v="1"/>
    <s v="Amazon"/>
    <s v="Amazon.in"/>
    <s v="Expedited"/>
    <x v="2"/>
    <x v="1"/>
    <x v="2"/>
    <s v="Shipped"/>
    <n v="1"/>
    <s v="INR"/>
    <n v="329"/>
    <s v="NAVI MUMBAI"/>
    <x v="0"/>
    <s v="IN"/>
    <x v="1"/>
    <x v="1"/>
  </r>
  <r>
    <s v="403-9615377-8133951"/>
    <d v="2022-04-30T00:00:00"/>
    <s v="Cancelled"/>
    <x v="0"/>
    <s v="Merchant"/>
    <s v="Amazon.in"/>
    <s v="Standard"/>
    <x v="3"/>
    <x v="2"/>
    <x v="3"/>
    <m/>
    <n v="0"/>
    <s v="INR"/>
    <n v="753.33"/>
    <s v="PUDUCHERRY"/>
    <x v="2"/>
    <s v="IN"/>
    <x v="0"/>
    <x v="0"/>
  </r>
  <r>
    <s v="407-1069790-7240320"/>
    <d v="2022-04-30T00:00:00"/>
    <s v="Shipped"/>
    <x v="1"/>
    <s v="Amazon"/>
    <s v="Amazon.in"/>
    <s v="Expedited"/>
    <x v="4"/>
    <x v="3"/>
    <x v="1"/>
    <s v="Shipped"/>
    <n v="1"/>
    <s v="INR"/>
    <n v="574"/>
    <s v="CHENNAI"/>
    <x v="3"/>
    <s v="IN"/>
    <x v="0"/>
    <x v="1"/>
  </r>
  <r>
    <s v="404-1490984-4578765"/>
    <d v="2022-04-30T00:00:00"/>
    <s v="Shipped"/>
    <x v="1"/>
    <s v="Amazon"/>
    <s v="Amazon.in"/>
    <s v="Expedited"/>
    <x v="5"/>
    <x v="0"/>
    <x v="2"/>
    <s v="Shipped"/>
    <n v="1"/>
    <s v="INR"/>
    <n v="824"/>
    <s v="GHAZIABAD"/>
    <x v="4"/>
    <s v="IN"/>
    <x v="0"/>
    <x v="1"/>
  </r>
  <r>
    <s v="408-5748499-6859555"/>
    <d v="2022-04-30T00:00:00"/>
    <s v="Shipped"/>
    <x v="1"/>
    <s v="Amazon"/>
    <s v="Amazon.in"/>
    <s v="Expedited"/>
    <x v="6"/>
    <x v="0"/>
    <x v="3"/>
    <s v="Shipped"/>
    <n v="1"/>
    <s v="INR"/>
    <n v="653"/>
    <s v="CHANDIGARH"/>
    <x v="5"/>
    <s v="IN"/>
    <x v="0"/>
    <x v="1"/>
  </r>
  <r>
    <s v="406-7807733-3785945"/>
    <d v="2022-04-30T00:00:00"/>
    <s v="Shipped - Delivered to Buyer"/>
    <x v="1"/>
    <s v="Merchant"/>
    <s v="Amazon.in"/>
    <s v="Standard"/>
    <x v="7"/>
    <x v="1"/>
    <x v="0"/>
    <s v="Shipped"/>
    <n v="1"/>
    <s v="INR"/>
    <n v="399"/>
    <s v="HYDERABAD"/>
    <x v="6"/>
    <s v="IN"/>
    <x v="0"/>
    <x v="0"/>
  </r>
  <r>
    <s v="402-4393761-0311520"/>
    <d v="2022-04-30T00:00:00"/>
    <s v="Shipped"/>
    <x v="1"/>
    <s v="Amazon"/>
    <s v="Amazon.in"/>
    <s v="Expedited"/>
    <x v="8"/>
    <x v="1"/>
    <x v="4"/>
    <s v="Shipped"/>
    <n v="1"/>
    <s v="INR"/>
    <n v="363"/>
    <s v="CHENNAI"/>
    <x v="3"/>
    <s v="IN"/>
    <x v="0"/>
    <x v="1"/>
  </r>
  <r>
    <s v="407-5633625-6970741"/>
    <d v="2022-04-30T00:00:00"/>
    <s v="Shipped"/>
    <x v="1"/>
    <s v="Amazon"/>
    <s v="Amazon.in"/>
    <s v="Expedited"/>
    <x v="9"/>
    <x v="1"/>
    <x v="0"/>
    <s v="Shipped"/>
    <n v="1"/>
    <s v="INR"/>
    <n v="685"/>
    <s v="CHENNAI"/>
    <x v="3"/>
    <s v="IN"/>
    <x v="0"/>
    <x v="1"/>
  </r>
  <r>
    <s v="171-4638481-6326716"/>
    <d v="2022-04-30T00:00:00"/>
    <s v="Shipped"/>
    <x v="1"/>
    <s v="Amazon"/>
    <s v="Amazon.in"/>
    <s v="Expedited"/>
    <x v="10"/>
    <x v="1"/>
    <x v="5"/>
    <s v="Shipped"/>
    <n v="1"/>
    <s v="INR"/>
    <n v="364"/>
    <s v="NOIDA"/>
    <x v="4"/>
    <s v="IN"/>
    <x v="0"/>
    <x v="1"/>
  </r>
  <r>
    <s v="405-5513694-8146768"/>
    <d v="2022-04-30T00:00:00"/>
    <s v="Shipped - Delivered to Buyer"/>
    <x v="1"/>
    <s v="Merchant"/>
    <s v="Amazon.in"/>
    <s v="Standard"/>
    <x v="11"/>
    <x v="1"/>
    <x v="5"/>
    <s v="Shipped"/>
    <n v="1"/>
    <s v="INR"/>
    <n v="399"/>
    <s v="Amravati."/>
    <x v="0"/>
    <s v="IN"/>
    <x v="0"/>
    <x v="0"/>
  </r>
  <r>
    <s v="408-7955685-3083534"/>
    <d v="2022-04-30T00:00:00"/>
    <s v="Shipped"/>
    <x v="1"/>
    <s v="Amazon"/>
    <s v="Amazon.in"/>
    <s v="Expedited"/>
    <x v="12"/>
    <x v="0"/>
    <x v="5"/>
    <s v="Shipped"/>
    <n v="1"/>
    <s v="INR"/>
    <n v="657"/>
    <s v="MUMBAI"/>
    <x v="0"/>
    <s v="IN"/>
    <x v="0"/>
    <x v="1"/>
  </r>
  <r>
    <s v="408-1298370-1920302"/>
    <d v="2022-04-30T00:00:00"/>
    <s v="Shipped - Delivered to Buyer"/>
    <x v="1"/>
    <s v="Merchant"/>
    <s v="Amazon.in"/>
    <s v="Standard"/>
    <x v="13"/>
    <x v="0"/>
    <x v="3"/>
    <s v="Shipped"/>
    <n v="1"/>
    <s v="INR"/>
    <n v="771"/>
    <s v="MUMBAI"/>
    <x v="0"/>
    <s v="IN"/>
    <x v="0"/>
    <x v="0"/>
  </r>
  <r>
    <s v="403-4965581-9520319"/>
    <d v="2022-04-30T00:00:00"/>
    <s v="Shipped - Delivered to Buyer"/>
    <x v="1"/>
    <s v="Merchant"/>
    <s v="Amazon.in"/>
    <s v="Standard"/>
    <x v="14"/>
    <x v="1"/>
    <x v="6"/>
    <s v="Shipped"/>
    <n v="1"/>
    <s v="INR"/>
    <n v="544"/>
    <s v="GUNTAKAL"/>
    <x v="7"/>
    <s v="IN"/>
    <x v="0"/>
    <x v="0"/>
  </r>
  <r>
    <s v="406-9379318-6555504"/>
    <d v="2022-04-30T00:00:00"/>
    <s v="Shipped"/>
    <x v="1"/>
    <s v="Amazon"/>
    <s v="Amazon.in"/>
    <s v="Expedited"/>
    <x v="15"/>
    <x v="1"/>
    <x v="4"/>
    <s v="Shipped"/>
    <n v="1"/>
    <s v="INR"/>
    <n v="329"/>
    <s v="JAIPUR"/>
    <x v="8"/>
    <s v="IN"/>
    <x v="0"/>
    <x v="1"/>
  </r>
  <r>
    <s v="405-9013803-8009918"/>
    <d v="2022-04-30T00:00:00"/>
    <s v="Shipped"/>
    <x v="1"/>
    <s v="Amazon"/>
    <s v="Amazon.in"/>
    <s v="Expedited"/>
    <x v="16"/>
    <x v="1"/>
    <x v="2"/>
    <s v="Shipped"/>
    <n v="1"/>
    <s v="INR"/>
    <n v="399"/>
    <s v="NEW DELHI"/>
    <x v="9"/>
    <s v="IN"/>
    <x v="0"/>
    <x v="1"/>
  </r>
  <r>
    <s v="402-4030358-5835511"/>
    <d v="2022-04-30T00:00:00"/>
    <s v="Shipped - Delivered to Buyer"/>
    <x v="1"/>
    <s v="Merchant"/>
    <s v="Amazon.in"/>
    <s v="Standard"/>
    <x v="17"/>
    <x v="1"/>
    <x v="4"/>
    <s v="Shipped"/>
    <n v="1"/>
    <s v="INR"/>
    <n v="458"/>
    <s v="Gurgaon"/>
    <x v="10"/>
    <s v="IN"/>
    <x v="0"/>
    <x v="0"/>
  </r>
  <r>
    <s v="405-5957858-1051546"/>
    <d v="2022-04-30T00:00:00"/>
    <s v="Shipped"/>
    <x v="1"/>
    <s v="Amazon"/>
    <s v="Amazon.in"/>
    <s v="Expedited"/>
    <x v="18"/>
    <x v="0"/>
    <x v="5"/>
    <s v="Shipped"/>
    <n v="1"/>
    <s v="INR"/>
    <n v="886"/>
    <s v="BENGALURU"/>
    <x v="1"/>
    <s v="IN"/>
    <x v="0"/>
    <x v="1"/>
  </r>
  <r>
    <s v="405-0607769-0716360"/>
    <d v="2022-04-30T00:00:00"/>
    <s v="Shipped"/>
    <x v="1"/>
    <s v="Amazon"/>
    <s v="Amazon.in"/>
    <s v="Expedited"/>
    <x v="19"/>
    <x v="1"/>
    <x v="1"/>
    <s v="Shipped"/>
    <n v="1"/>
    <s v="INR"/>
    <n v="517"/>
    <s v="TIRUCHIRAPPALLI"/>
    <x v="3"/>
    <s v="IN"/>
    <x v="0"/>
    <x v="1"/>
  </r>
  <r>
    <s v="404-8494550-5860325"/>
    <d v="2022-04-30T00:00:00"/>
    <s v="Shipped"/>
    <x v="1"/>
    <s v="Amazon"/>
    <s v="Amazon.in"/>
    <s v="Expedited"/>
    <x v="20"/>
    <x v="0"/>
    <x v="7"/>
    <s v="Shipped"/>
    <n v="1"/>
    <s v="INR"/>
    <n v="666"/>
    <s v="BENGALURU"/>
    <x v="1"/>
    <s v="IN"/>
    <x v="0"/>
    <x v="1"/>
  </r>
  <r>
    <s v="171-1305077-2813934"/>
    <d v="2022-04-30T00:00:00"/>
    <s v="Shipped"/>
    <x v="1"/>
    <s v="Amazon"/>
    <s v="Amazon.in"/>
    <s v="Expedited"/>
    <x v="21"/>
    <x v="1"/>
    <x v="3"/>
    <s v="Shipped"/>
    <n v="1"/>
    <s v="INR"/>
    <n v="376"/>
    <s v="HYDERABAD"/>
    <x v="6"/>
    <s v="IN"/>
    <x v="0"/>
    <x v="1"/>
  </r>
  <r>
    <s v="404-6019946-2909948"/>
    <d v="2022-04-30T00:00:00"/>
    <s v="Cancelled"/>
    <x v="0"/>
    <s v="Merchant"/>
    <s v="Amazon.in"/>
    <s v="Standard"/>
    <x v="22"/>
    <x v="0"/>
    <x v="7"/>
    <m/>
    <n v="0"/>
    <s v="INR"/>
    <n v="570.48"/>
    <s v="pune"/>
    <x v="0"/>
    <s v="IN"/>
    <x v="0"/>
    <x v="0"/>
  </r>
  <r>
    <s v="402-3384087-4005164"/>
    <d v="2022-04-30T00:00:00"/>
    <s v="Shipped"/>
    <x v="1"/>
    <s v="Amazon"/>
    <s v="Amazon.in"/>
    <s v="Expedited"/>
    <x v="23"/>
    <x v="1"/>
    <x v="3"/>
    <s v="Shipped"/>
    <n v="1"/>
    <s v="INR"/>
    <n v="499"/>
    <s v="TEZPUR"/>
    <x v="11"/>
    <s v="IN"/>
    <x v="0"/>
    <x v="1"/>
  </r>
  <r>
    <s v="405-8191138-5176316"/>
    <d v="2022-04-30T00:00:00"/>
    <s v="Shipped - Delivered to Buyer"/>
    <x v="1"/>
    <s v="Merchant"/>
    <s v="Amazon.in"/>
    <s v="Standard"/>
    <x v="24"/>
    <x v="0"/>
    <x v="5"/>
    <s v="Shipped"/>
    <n v="1"/>
    <s v="INR"/>
    <n v="582"/>
    <s v="RANCHI"/>
    <x v="12"/>
    <s v="IN"/>
    <x v="0"/>
    <x v="0"/>
  </r>
  <r>
    <s v="403-9230474-9657916"/>
    <d v="2022-04-30T00:00:00"/>
    <s v="Shipped - Delivered to Buyer"/>
    <x v="1"/>
    <s v="Merchant"/>
    <s v="Amazon.in"/>
    <s v="Standard"/>
    <x v="25"/>
    <x v="1"/>
    <x v="1"/>
    <s v="Shipped"/>
    <n v="1"/>
    <s v="INR"/>
    <n v="299"/>
    <s v="BILASPUR"/>
    <x v="13"/>
    <s v="IN"/>
    <x v="0"/>
    <x v="0"/>
  </r>
  <r>
    <s v="408-3484251-6901959"/>
    <d v="2022-04-30T00:00:00"/>
    <s v="Shipped"/>
    <x v="1"/>
    <s v="Amazon"/>
    <s v="Amazon.in"/>
    <s v="Expedited"/>
    <x v="26"/>
    <x v="1"/>
    <x v="8"/>
    <s v="Shipped"/>
    <n v="1"/>
    <s v="INR"/>
    <n v="459"/>
    <s v="pune"/>
    <x v="0"/>
    <s v="IN"/>
    <x v="0"/>
    <x v="1"/>
  </r>
  <r>
    <s v="405-7755803-4729935"/>
    <d v="2022-04-30T00:00:00"/>
    <s v="Shipped"/>
    <x v="1"/>
    <s v="Amazon"/>
    <s v="Amazon.in"/>
    <s v="Expedited"/>
    <x v="27"/>
    <x v="1"/>
    <x v="7"/>
    <s v="Shipped"/>
    <n v="1"/>
    <s v="INR"/>
    <n v="399"/>
    <s v="BENGALURU"/>
    <x v="1"/>
    <s v="IN"/>
    <x v="0"/>
    <x v="1"/>
  </r>
  <r>
    <s v="171-9040274-9291563"/>
    <d v="2022-04-30T00:00:00"/>
    <s v="Shipped"/>
    <x v="1"/>
    <s v="Amazon"/>
    <s v="Amazon.in"/>
    <s v="Expedited"/>
    <x v="28"/>
    <x v="2"/>
    <x v="0"/>
    <s v="Shipped"/>
    <n v="1"/>
    <s v="INR"/>
    <n v="791"/>
    <s v="THIRUVARUR"/>
    <x v="3"/>
    <s v="IN"/>
    <x v="0"/>
    <x v="1"/>
  </r>
  <r>
    <s v="403-7056319-0979561"/>
    <d v="2022-04-30T00:00:00"/>
    <s v="Shipped"/>
    <x v="1"/>
    <s v="Amazon"/>
    <s v="Amazon.in"/>
    <s v="Expedited"/>
    <x v="29"/>
    <x v="1"/>
    <x v="2"/>
    <s v="Shipped"/>
    <n v="1"/>
    <s v="INR"/>
    <n v="499"/>
    <s v="LUCKNOW"/>
    <x v="4"/>
    <s v="IN"/>
    <x v="0"/>
    <x v="1"/>
  </r>
  <r>
    <s v="404-9632124-1107550"/>
    <d v="2022-04-30T00:00:00"/>
    <s v="Shipped - Delivered to Buyer"/>
    <x v="1"/>
    <s v="Merchant"/>
    <s v="Amazon.in"/>
    <s v="Standard"/>
    <x v="30"/>
    <x v="0"/>
    <x v="7"/>
    <s v="Shipped"/>
    <n v="1"/>
    <s v="INR"/>
    <n v="1233"/>
    <s v="VISAKHAPATNAM"/>
    <x v="7"/>
    <s v="IN"/>
    <x v="0"/>
    <x v="0"/>
  </r>
  <r>
    <s v="402-1465437-0579556"/>
    <d v="2022-04-30T00:00:00"/>
    <s v="Shipped - Delivered to Buyer"/>
    <x v="1"/>
    <s v="Merchant"/>
    <s v="Amazon.in"/>
    <s v="Standard"/>
    <x v="31"/>
    <x v="1"/>
    <x v="7"/>
    <s v="Shipped"/>
    <n v="1"/>
    <s v="INR"/>
    <n v="517"/>
    <s v="JEYPUR"/>
    <x v="14"/>
    <s v="IN"/>
    <x v="0"/>
    <x v="0"/>
  </r>
  <r>
    <s v="404-7774085-3780319"/>
    <d v="2022-04-30T00:00:00"/>
    <s v="Shipped"/>
    <x v="1"/>
    <s v="Amazon"/>
    <s v="Amazon.in"/>
    <s v="Expedited"/>
    <x v="32"/>
    <x v="1"/>
    <x v="2"/>
    <s v="Shipped"/>
    <n v="1"/>
    <s v="INR"/>
    <n v="376"/>
    <s v="HYDERABAD"/>
    <x v="6"/>
    <s v="IN"/>
    <x v="0"/>
    <x v="1"/>
  </r>
  <r>
    <s v="402-2764952-1492318"/>
    <d v="2022-04-30T00:00:00"/>
    <s v="Shipped - Delivered to Buyer"/>
    <x v="1"/>
    <s v="Merchant"/>
    <s v="Amazon.in"/>
    <s v="Standard"/>
    <x v="33"/>
    <x v="1"/>
    <x v="2"/>
    <s v="Shipped"/>
    <n v="1"/>
    <s v="INR"/>
    <n v="499"/>
    <s v="LUCKNOW"/>
    <x v="4"/>
    <s v="IN"/>
    <x v="0"/>
    <x v="0"/>
  </r>
  <r>
    <s v="406-0272200-7784379"/>
    <d v="2022-04-30T00:00:00"/>
    <s v="Shipped"/>
    <x v="1"/>
    <s v="Amazon"/>
    <s v="Amazon.in"/>
    <s v="Expedited"/>
    <x v="34"/>
    <x v="0"/>
    <x v="3"/>
    <s v="Shipped"/>
    <n v="1"/>
    <s v="INR"/>
    <n v="666"/>
    <s v="CHENNAI"/>
    <x v="3"/>
    <s v="IN"/>
    <x v="0"/>
    <x v="1"/>
  </r>
  <r>
    <s v="403-4367956-2849158"/>
    <d v="2022-04-30T00:00:00"/>
    <s v="Shipped"/>
    <x v="1"/>
    <s v="Amazon"/>
    <s v="Amazon.in"/>
    <s v="Expedited"/>
    <x v="35"/>
    <x v="1"/>
    <x v="0"/>
    <s v="Shipped"/>
    <n v="1"/>
    <s v="INR"/>
    <n v="487"/>
    <s v="NEW DELHI"/>
    <x v="9"/>
    <s v="IN"/>
    <x v="0"/>
    <x v="1"/>
  </r>
  <r>
    <s v="403-4367956-2849158"/>
    <d v="2022-04-30T00:00:00"/>
    <s v="Shipped"/>
    <x v="1"/>
    <s v="Amazon"/>
    <s v="Amazon.in"/>
    <s v="Expedited"/>
    <x v="36"/>
    <x v="1"/>
    <x v="0"/>
    <s v="Shipped"/>
    <n v="1"/>
    <s v="INR"/>
    <n v="368"/>
    <s v="NEW DELHI"/>
    <x v="9"/>
    <s v="IN"/>
    <x v="0"/>
    <x v="1"/>
  </r>
  <r>
    <s v="403-4242957-8599555"/>
    <d v="2022-04-30T00:00:00"/>
    <s v="Shipped"/>
    <x v="1"/>
    <s v="Amazon"/>
    <s v="Amazon.in"/>
    <s v="Expedited"/>
    <x v="37"/>
    <x v="1"/>
    <x v="3"/>
    <s v="Shipped"/>
    <n v="1"/>
    <s v="INR"/>
    <n v="399"/>
    <s v="THIRUVANANTHAPURAM"/>
    <x v="15"/>
    <s v="IN"/>
    <x v="0"/>
    <x v="1"/>
  </r>
  <r>
    <s v="408-7165704-5643524"/>
    <d v="2022-04-30T00:00:00"/>
    <s v="Shipped"/>
    <x v="1"/>
    <s v="Amazon"/>
    <s v="Amazon.in"/>
    <s v="Expedited"/>
    <x v="38"/>
    <x v="4"/>
    <x v="4"/>
    <s v="Shipped"/>
    <n v="1"/>
    <s v="INR"/>
    <n v="699"/>
    <s v="GREATER NOIDA"/>
    <x v="4"/>
    <s v="IN"/>
    <x v="0"/>
    <x v="1"/>
  </r>
  <r>
    <s v="402-8210765-3935569"/>
    <d v="2022-04-30T00:00:00"/>
    <s v="Shipped"/>
    <x v="1"/>
    <s v="Amazon"/>
    <s v="Amazon.in"/>
    <s v="Expedited"/>
    <x v="39"/>
    <x v="2"/>
    <x v="1"/>
    <s v="Shipped"/>
    <n v="1"/>
    <s v="INR"/>
    <n v="885"/>
    <s v="JABALPUR"/>
    <x v="16"/>
    <s v="IN"/>
    <x v="0"/>
    <x v="1"/>
  </r>
  <r>
    <s v="406-7398201-3869914"/>
    <d v="2022-04-30T00:00:00"/>
    <s v="Shipped - Delivered to Buyer"/>
    <x v="1"/>
    <s v="Merchant"/>
    <s v="Amazon.in"/>
    <s v="Standard"/>
    <x v="40"/>
    <x v="1"/>
    <x v="7"/>
    <s v="Shipped"/>
    <n v="1"/>
    <s v="INR"/>
    <n v="424"/>
    <s v="MUMBAI"/>
    <x v="0"/>
    <s v="IN"/>
    <x v="0"/>
    <x v="0"/>
  </r>
  <r>
    <s v="408-3478480-0881162"/>
    <d v="2022-04-30T00:00:00"/>
    <s v="Shipped"/>
    <x v="1"/>
    <s v="Amazon"/>
    <s v="Amazon.in"/>
    <s v="Expedited"/>
    <x v="41"/>
    <x v="0"/>
    <x v="7"/>
    <s v="Shipped"/>
    <n v="1"/>
    <s v="INR"/>
    <n v="1126"/>
    <s v="LUCKNOW"/>
    <x v="4"/>
    <s v="IN"/>
    <x v="0"/>
    <x v="1"/>
  </r>
  <r>
    <s v="402-7595162-9129931"/>
    <d v="2022-04-30T00:00:00"/>
    <s v="Shipped"/>
    <x v="1"/>
    <s v="Amazon"/>
    <s v="Amazon.in"/>
    <s v="Expedited"/>
    <x v="42"/>
    <x v="0"/>
    <x v="3"/>
    <s v="Shipped"/>
    <n v="1"/>
    <s v="INR"/>
    <n v="788"/>
    <s v="MUMBAI"/>
    <x v="0"/>
    <s v="IN"/>
    <x v="0"/>
    <x v="1"/>
  </r>
  <r>
    <s v="171-6876154-6233146"/>
    <d v="2022-04-30T00:00:00"/>
    <s v="Shipped"/>
    <x v="1"/>
    <s v="Amazon"/>
    <s v="Amazon.in"/>
    <s v="Expedited"/>
    <x v="43"/>
    <x v="0"/>
    <x v="0"/>
    <s v="Shipped"/>
    <n v="1"/>
    <s v="INR"/>
    <n v="759"/>
    <s v="KOLKATA"/>
    <x v="17"/>
    <s v="IN"/>
    <x v="0"/>
    <x v="1"/>
  </r>
  <r>
    <s v="408-3917043-5314763"/>
    <d v="2022-04-30T00:00:00"/>
    <s v="Shipped"/>
    <x v="1"/>
    <s v="Amazon"/>
    <s v="Amazon.in"/>
    <s v="Expedited"/>
    <x v="44"/>
    <x v="0"/>
    <x v="3"/>
    <s v="Shipped"/>
    <n v="1"/>
    <s v="INR"/>
    <n v="1146"/>
    <s v="ONGOLE"/>
    <x v="7"/>
    <s v="IN"/>
    <x v="0"/>
    <x v="1"/>
  </r>
  <r>
    <s v="408-9281152-6213100"/>
    <d v="2022-04-30T00:00:00"/>
    <s v="Shipped"/>
    <x v="1"/>
    <s v="Amazon"/>
    <s v="Amazon.in"/>
    <s v="Expedited"/>
    <x v="45"/>
    <x v="3"/>
    <x v="0"/>
    <s v="Shipped"/>
    <n v="1"/>
    <s v="INR"/>
    <n v="665"/>
    <s v="SECUNDERABAD"/>
    <x v="6"/>
    <s v="IN"/>
    <x v="0"/>
    <x v="1"/>
  </r>
  <r>
    <s v="403-3496411-3082707"/>
    <d v="2022-04-30T00:00:00"/>
    <s v="Shipped"/>
    <x v="1"/>
    <s v="Amazon"/>
    <s v="Amazon.in"/>
    <s v="Expedited"/>
    <x v="46"/>
    <x v="1"/>
    <x v="0"/>
    <s v="Shipped"/>
    <n v="1"/>
    <s v="INR"/>
    <n v="429"/>
    <s v="HYDERABAD"/>
    <x v="6"/>
    <s v="IN"/>
    <x v="0"/>
    <x v="1"/>
  </r>
  <r>
    <s v="171-9208368-0157156"/>
    <d v="2022-04-30T00:00:00"/>
    <s v="Shipped - Delivered to Buyer"/>
    <x v="1"/>
    <s v="Merchant"/>
    <s v="Amazon.in"/>
    <s v="Standard"/>
    <x v="47"/>
    <x v="1"/>
    <x v="7"/>
    <s v="Shipped"/>
    <n v="1"/>
    <s v="INR"/>
    <n v="399"/>
    <s v="KEWALPUR"/>
    <x v="4"/>
    <s v="IN"/>
    <x v="0"/>
    <x v="0"/>
  </r>
  <r>
    <s v="408-2137113-0982751"/>
    <d v="2022-04-30T00:00:00"/>
    <s v="Shipped"/>
    <x v="1"/>
    <s v="Amazon"/>
    <s v="Amazon.in"/>
    <s v="Expedited"/>
    <x v="48"/>
    <x v="0"/>
    <x v="0"/>
    <s v="Shipped"/>
    <n v="1"/>
    <s v="INR"/>
    <n v="848"/>
    <s v="CUTTACK"/>
    <x v="14"/>
    <s v="IN"/>
    <x v="0"/>
    <x v="1"/>
  </r>
  <r>
    <s v="402-3628566-9688333"/>
    <d v="2022-04-30T00:00:00"/>
    <s v="Shipped"/>
    <x v="1"/>
    <s v="Amazon"/>
    <s v="Amazon.in"/>
    <s v="Expedited"/>
    <x v="49"/>
    <x v="0"/>
    <x v="7"/>
    <s v="Shipped"/>
    <n v="1"/>
    <s v="INR"/>
    <n v="654"/>
    <s v="BADLAPUR"/>
    <x v="0"/>
    <s v="IN"/>
    <x v="0"/>
    <x v="1"/>
  </r>
  <r>
    <s v="408-7138000-9728362"/>
    <d v="2022-04-30T00:00:00"/>
    <s v="Shipped"/>
    <x v="1"/>
    <s v="Amazon"/>
    <s v="Amazon.in"/>
    <s v="Expedited"/>
    <x v="50"/>
    <x v="0"/>
    <x v="7"/>
    <s v="Shipped"/>
    <n v="1"/>
    <s v="INR"/>
    <n v="1033"/>
    <s v="dimapur"/>
    <x v="18"/>
    <s v="IN"/>
    <x v="0"/>
    <x v="1"/>
  </r>
  <r>
    <s v="402-1752649-2274748"/>
    <d v="2022-04-30T00:00:00"/>
    <s v="Shipped"/>
    <x v="1"/>
    <s v="Amazon"/>
    <s v="Amazon.in"/>
    <s v="Expedited"/>
    <x v="51"/>
    <x v="1"/>
    <x v="2"/>
    <s v="Shipped"/>
    <n v="1"/>
    <s v="INR"/>
    <n v="390"/>
    <s v="BENGALURU"/>
    <x v="1"/>
    <s v="IN"/>
    <x v="0"/>
    <x v="1"/>
  </r>
  <r>
    <s v="402-7944191-1869101"/>
    <d v="2022-04-30T00:00:00"/>
    <s v="Shipped"/>
    <x v="1"/>
    <s v="Amazon"/>
    <s v="Amazon.in"/>
    <s v="Expedited"/>
    <x v="52"/>
    <x v="3"/>
    <x v="3"/>
    <s v="Shipped"/>
    <n v="1"/>
    <s v="INR"/>
    <n v="493"/>
    <s v="BENGALURU"/>
    <x v="1"/>
    <s v="IN"/>
    <x v="0"/>
    <x v="1"/>
  </r>
  <r>
    <s v="407-4063876-9566742"/>
    <d v="2022-04-30T00:00:00"/>
    <s v="Shipped"/>
    <x v="1"/>
    <s v="Amazon"/>
    <s v="Amazon.in"/>
    <s v="Expedited"/>
    <x v="53"/>
    <x v="2"/>
    <x v="0"/>
    <s v="Shipped"/>
    <n v="1"/>
    <s v="INR"/>
    <n v="721"/>
    <s v="WARANGAL"/>
    <x v="6"/>
    <s v="IN"/>
    <x v="0"/>
    <x v="1"/>
  </r>
  <r>
    <s v="403-0752752-4656334"/>
    <d v="2022-04-30T00:00:00"/>
    <s v="Shipped"/>
    <x v="1"/>
    <s v="Amazon"/>
    <s v="Amazon.in"/>
    <s v="Expedited"/>
    <x v="54"/>
    <x v="0"/>
    <x v="5"/>
    <s v="Shipped"/>
    <n v="1"/>
    <s v="INR"/>
    <n v="597"/>
    <s v="DHAULPUR"/>
    <x v="8"/>
    <s v="IN"/>
    <x v="0"/>
    <x v="1"/>
  </r>
  <r>
    <s v="406-8879861-2081117"/>
    <d v="2022-04-30T00:00:00"/>
    <s v="Shipped"/>
    <x v="1"/>
    <s v="Amazon"/>
    <s v="Amazon.in"/>
    <s v="Expedited"/>
    <x v="37"/>
    <x v="1"/>
    <x v="3"/>
    <s v="Shipped"/>
    <n v="1"/>
    <s v="INR"/>
    <n v="399"/>
    <s v="GUWAHATI"/>
    <x v="11"/>
    <s v="IN"/>
    <x v="0"/>
    <x v="1"/>
  </r>
  <r>
    <s v="406-8089333-7941903"/>
    <d v="2022-04-30T00:00:00"/>
    <s v="Shipped"/>
    <x v="1"/>
    <s v="Amazon"/>
    <s v="Amazon.in"/>
    <s v="Expedited"/>
    <x v="55"/>
    <x v="0"/>
    <x v="0"/>
    <s v="Shipped"/>
    <n v="1"/>
    <s v="INR"/>
    <n v="888"/>
    <s v="Bengaluru"/>
    <x v="1"/>
    <s v="IN"/>
    <x v="0"/>
    <x v="1"/>
  </r>
  <r>
    <s v="171-3072652-6805159"/>
    <d v="2022-04-30T00:00:00"/>
    <s v="Shipped"/>
    <x v="1"/>
    <s v="Amazon"/>
    <s v="Amazon.in"/>
    <s v="Expedited"/>
    <x v="56"/>
    <x v="1"/>
    <x v="4"/>
    <s v="Shipped"/>
    <n v="1"/>
    <s v="INR"/>
    <n v="353"/>
    <s v="HYDERABAD"/>
    <x v="6"/>
    <s v="IN"/>
    <x v="0"/>
    <x v="1"/>
  </r>
  <r>
    <s v="171-2592464-6846743"/>
    <d v="2022-04-30T00:00:00"/>
    <s v="Shipped - Delivered to Buyer"/>
    <x v="1"/>
    <s v="Merchant"/>
    <s v="Amazon.in"/>
    <s v="Standard"/>
    <x v="57"/>
    <x v="0"/>
    <x v="2"/>
    <s v="Shipped"/>
    <n v="1"/>
    <s v="INR"/>
    <n v="599"/>
    <s v="BENGALURU"/>
    <x v="1"/>
    <s v="IN"/>
    <x v="0"/>
    <x v="0"/>
  </r>
  <r>
    <s v="404-2262140-4696366"/>
    <d v="2022-04-30T00:00:00"/>
    <s v="Shipped"/>
    <x v="1"/>
    <s v="Amazon"/>
    <s v="Amazon.in"/>
    <s v="Expedited"/>
    <x v="58"/>
    <x v="1"/>
    <x v="7"/>
    <s v="Shipped"/>
    <n v="1"/>
    <s v="INR"/>
    <n v="518"/>
    <s v="NAGPUR"/>
    <x v="0"/>
    <s v="IN"/>
    <x v="0"/>
    <x v="1"/>
  </r>
  <r>
    <s v="404-2262140-4696366"/>
    <d v="2022-04-30T00:00:00"/>
    <s v="Shipped"/>
    <x v="1"/>
    <s v="Amazon"/>
    <s v="Amazon.in"/>
    <s v="Expedited"/>
    <x v="59"/>
    <x v="1"/>
    <x v="7"/>
    <s v="Shipped"/>
    <n v="1"/>
    <s v="INR"/>
    <n v="295"/>
    <s v="NAGPUR"/>
    <x v="0"/>
    <s v="IN"/>
    <x v="0"/>
    <x v="1"/>
  </r>
  <r>
    <s v="405-3594372-1614709"/>
    <d v="2022-04-30T00:00:00"/>
    <s v="Shipped"/>
    <x v="1"/>
    <s v="Amazon"/>
    <s v="Amazon.in"/>
    <s v="Expedited"/>
    <x v="60"/>
    <x v="0"/>
    <x v="5"/>
    <s v="Shipped"/>
    <n v="1"/>
    <s v="INR"/>
    <n v="852"/>
    <s v="GREATER NOIDA"/>
    <x v="4"/>
    <s v="IN"/>
    <x v="0"/>
    <x v="1"/>
  </r>
  <r>
    <s v="407-2974257-4781134"/>
    <d v="2022-04-30T00:00:00"/>
    <s v="Shipped"/>
    <x v="1"/>
    <s v="Amazon"/>
    <s v="Amazon.in"/>
    <s v="Expedited"/>
    <x v="61"/>
    <x v="0"/>
    <x v="7"/>
    <s v="Shipped"/>
    <n v="1"/>
    <s v="INR"/>
    <n v="824"/>
    <s v="THANE"/>
    <x v="0"/>
    <s v="IN"/>
    <x v="0"/>
    <x v="1"/>
  </r>
  <r>
    <s v="405-4461562-9113959"/>
    <d v="2022-04-30T00:00:00"/>
    <s v="Shipped"/>
    <x v="1"/>
    <s v="Amazon"/>
    <s v="Amazon.in"/>
    <s v="Expedited"/>
    <x v="62"/>
    <x v="0"/>
    <x v="4"/>
    <s v="Shipped"/>
    <n v="1"/>
    <s v="INR"/>
    <n v="909"/>
    <s v="RANCHI"/>
    <x v="12"/>
    <s v="IN"/>
    <x v="0"/>
    <x v="1"/>
  </r>
  <r>
    <s v="404-4535078-5241919"/>
    <d v="2022-04-30T00:00:00"/>
    <s v="Shipped"/>
    <x v="1"/>
    <s v="Amazon"/>
    <s v="Amazon.in"/>
    <s v="Expedited"/>
    <x v="63"/>
    <x v="3"/>
    <x v="3"/>
    <s v="Shipped"/>
    <n v="1"/>
    <s v="INR"/>
    <n v="432"/>
    <s v="PUNE"/>
    <x v="0"/>
    <s v="IN"/>
    <x v="0"/>
    <x v="1"/>
  </r>
  <r>
    <s v="405-8387725-2971512"/>
    <d v="2022-04-30T00:00:00"/>
    <s v="Shipped"/>
    <x v="1"/>
    <s v="Amazon"/>
    <s v="Amazon.in"/>
    <s v="Expedited"/>
    <x v="64"/>
    <x v="0"/>
    <x v="3"/>
    <s v="Shipped"/>
    <n v="1"/>
    <s v="INR"/>
    <n v="545"/>
    <s v="BENGALURU"/>
    <x v="1"/>
    <s v="IN"/>
    <x v="0"/>
    <x v="1"/>
  </r>
  <r>
    <s v="405-6480932-8759528"/>
    <d v="2022-04-30T00:00:00"/>
    <s v="Shipped"/>
    <x v="1"/>
    <s v="Amazon"/>
    <s v="Amazon.in"/>
    <s v="Expedited"/>
    <x v="65"/>
    <x v="0"/>
    <x v="1"/>
    <s v="Shipped"/>
    <n v="1"/>
    <s v="INR"/>
    <n v="1146"/>
    <s v="VIJAPURA"/>
    <x v="1"/>
    <s v="IN"/>
    <x v="0"/>
    <x v="1"/>
  </r>
  <r>
    <s v="405-9966506-3155561"/>
    <d v="2022-04-30T00:00:00"/>
    <s v="Shipped - Delivered to Buyer"/>
    <x v="1"/>
    <s v="Merchant"/>
    <s v="Amazon.in"/>
    <s v="Standard"/>
    <x v="66"/>
    <x v="1"/>
    <x v="2"/>
    <s v="Shipped"/>
    <n v="1"/>
    <s v="INR"/>
    <n v="696"/>
    <s v="CHENNAI"/>
    <x v="3"/>
    <s v="IN"/>
    <x v="0"/>
    <x v="0"/>
  </r>
  <r>
    <s v="408-7029737-8028367"/>
    <d v="2022-04-30T00:00:00"/>
    <s v="Shipped"/>
    <x v="1"/>
    <s v="Amazon"/>
    <s v="Amazon.in"/>
    <s v="Expedited"/>
    <x v="67"/>
    <x v="1"/>
    <x v="7"/>
    <s v="Shipped"/>
    <n v="1"/>
    <s v="INR"/>
    <n v="432"/>
    <s v="MUMBAI"/>
    <x v="0"/>
    <s v="IN"/>
    <x v="0"/>
    <x v="1"/>
  </r>
  <r>
    <s v="407-2189901-7515567"/>
    <d v="2022-04-30T00:00:00"/>
    <s v="Shipped - Delivered to Buyer"/>
    <x v="1"/>
    <s v="Merchant"/>
    <s v="Amazon.in"/>
    <s v="Standard"/>
    <x v="68"/>
    <x v="0"/>
    <x v="0"/>
    <s v="Shipped"/>
    <n v="1"/>
    <s v="INR"/>
    <n v="631"/>
    <s v="bangalore"/>
    <x v="1"/>
    <s v="IN"/>
    <x v="0"/>
    <x v="0"/>
  </r>
  <r>
    <s v="402-2105657-2899562"/>
    <d v="2022-04-30T00:00:00"/>
    <s v="Shipped"/>
    <x v="1"/>
    <s v="Amazon"/>
    <s v="Amazon.in"/>
    <s v="Expedited"/>
    <x v="69"/>
    <x v="1"/>
    <x v="4"/>
    <s v="Shipped"/>
    <n v="1"/>
    <s v="INR"/>
    <n v="316"/>
    <s v="BENGALURU"/>
    <x v="1"/>
    <s v="IN"/>
    <x v="0"/>
    <x v="1"/>
  </r>
  <r>
    <s v="406-1326801-8886709"/>
    <d v="2022-04-30T00:00:00"/>
    <s v="Shipped - Delivered to Buyer"/>
    <x v="1"/>
    <s v="Merchant"/>
    <s v="Amazon.in"/>
    <s v="Standard"/>
    <x v="70"/>
    <x v="1"/>
    <x v="2"/>
    <s v="Shipped"/>
    <n v="1"/>
    <s v="INR"/>
    <n v="362"/>
    <s v="BERHAMPUR"/>
    <x v="14"/>
    <s v="IN"/>
    <x v="0"/>
    <x v="0"/>
  </r>
  <r>
    <s v="408-7760667-5809130"/>
    <d v="2022-04-30T00:00:00"/>
    <s v="Shipped"/>
    <x v="1"/>
    <s v="Amazon"/>
    <s v="Amazon.in"/>
    <s v="Expedited"/>
    <x v="71"/>
    <x v="1"/>
    <x v="3"/>
    <s v="Shipped"/>
    <n v="1"/>
    <s v="INR"/>
    <n v="329"/>
    <s v="HYDERABAD"/>
    <x v="6"/>
    <s v="IN"/>
    <x v="0"/>
    <x v="1"/>
  </r>
  <r>
    <s v="405-8457623-9269955"/>
    <d v="2022-04-30T00:00:00"/>
    <s v="Shipped"/>
    <x v="1"/>
    <s v="Amazon"/>
    <s v="Amazon.in"/>
    <s v="Expedited"/>
    <x v="72"/>
    <x v="1"/>
    <x v="4"/>
    <s v="Shipped"/>
    <n v="1"/>
    <s v="INR"/>
    <n v="399"/>
    <s v="PUNE"/>
    <x v="0"/>
    <s v="IN"/>
    <x v="0"/>
    <x v="1"/>
  </r>
  <r>
    <s v="408-6820155-3521913"/>
    <d v="2022-04-30T00:00:00"/>
    <s v="Shipped"/>
    <x v="1"/>
    <s v="Amazon"/>
    <s v="Amazon.in"/>
    <s v="Expedited"/>
    <x v="73"/>
    <x v="0"/>
    <x v="1"/>
    <s v="Shipped"/>
    <n v="1"/>
    <s v="INR"/>
    <n v="751"/>
    <s v="TEZPUR"/>
    <x v="11"/>
    <s v="IN"/>
    <x v="0"/>
    <x v="1"/>
  </r>
  <r>
    <s v="403-6190683-2687538"/>
    <d v="2022-04-30T00:00:00"/>
    <s v="Shipped"/>
    <x v="1"/>
    <s v="Amazon"/>
    <s v="Amazon.in"/>
    <s v="Expedited"/>
    <x v="74"/>
    <x v="2"/>
    <x v="2"/>
    <s v="Shipped"/>
    <n v="1"/>
    <s v="INR"/>
    <n v="791"/>
    <s v="HIMMATNAGAR"/>
    <x v="19"/>
    <s v="IN"/>
    <x v="0"/>
    <x v="1"/>
  </r>
  <r>
    <s v="408-4069830-3819562"/>
    <d v="2022-04-30T00:00:00"/>
    <s v="Shipped"/>
    <x v="1"/>
    <s v="Amazon"/>
    <s v="Amazon.in"/>
    <s v="Expedited"/>
    <x v="75"/>
    <x v="0"/>
    <x v="1"/>
    <s v="Shipped"/>
    <n v="1"/>
    <s v="INR"/>
    <n v="684"/>
    <s v="Kolkata"/>
    <x v="17"/>
    <s v="IN"/>
    <x v="0"/>
    <x v="1"/>
  </r>
  <r>
    <s v="408-4069830-3819562"/>
    <d v="2022-04-30T00:00:00"/>
    <s v="Shipped"/>
    <x v="1"/>
    <s v="Amazon"/>
    <s v="Amazon.in"/>
    <s v="Expedited"/>
    <x v="76"/>
    <x v="0"/>
    <x v="1"/>
    <s v="Shipped"/>
    <n v="1"/>
    <s v="INR"/>
    <n v="1281"/>
    <s v="Kolkata"/>
    <x v="17"/>
    <s v="IN"/>
    <x v="0"/>
    <x v="1"/>
  </r>
  <r>
    <s v="408-4069830-3819562"/>
    <d v="2022-04-30T00:00:00"/>
    <s v="Shipped"/>
    <x v="1"/>
    <s v="Amazon"/>
    <s v="Amazon.in"/>
    <s v="Expedited"/>
    <x v="77"/>
    <x v="0"/>
    <x v="1"/>
    <s v="Shipped"/>
    <n v="1"/>
    <s v="INR"/>
    <n v="1186"/>
    <s v="Kolkata"/>
    <x v="17"/>
    <s v="IN"/>
    <x v="0"/>
    <x v="1"/>
  </r>
  <r>
    <s v="171-7367545-7081126"/>
    <d v="2022-04-30T00:00:00"/>
    <s v="Shipped"/>
    <x v="1"/>
    <s v="Amazon"/>
    <s v="Amazon.in"/>
    <s v="Expedited"/>
    <x v="78"/>
    <x v="1"/>
    <x v="4"/>
    <s v="Shipped"/>
    <n v="1"/>
    <s v="INR"/>
    <n v="499"/>
    <s v="HYDERABAD"/>
    <x v="6"/>
    <s v="IN"/>
    <x v="0"/>
    <x v="1"/>
  </r>
  <r>
    <s v="404-6522553-9345930"/>
    <d v="2022-04-30T00:00:00"/>
    <s v="Cancelled"/>
    <x v="0"/>
    <s v="Merchant"/>
    <s v="Amazon.in"/>
    <s v="Standard"/>
    <x v="79"/>
    <x v="0"/>
    <x v="7"/>
    <m/>
    <n v="0"/>
    <s v="INR"/>
    <n v="1105.3599999999999"/>
    <s v="DEHRADUN"/>
    <x v="20"/>
    <s v="IN"/>
    <x v="0"/>
    <x v="0"/>
  </r>
  <r>
    <s v="407-6599093-6553153"/>
    <d v="2022-04-30T00:00:00"/>
    <s v="Shipped - Delivered to Buyer"/>
    <x v="1"/>
    <s v="Merchant"/>
    <s v="Amazon.in"/>
    <s v="Standard"/>
    <x v="80"/>
    <x v="5"/>
    <x v="1"/>
    <s v="Shipped"/>
    <n v="1"/>
    <s v="INR"/>
    <n v="377"/>
    <s v="KOLKATA"/>
    <x v="17"/>
    <s v="IN"/>
    <x v="0"/>
    <x v="0"/>
  </r>
  <r>
    <s v="403-3763475-2237125"/>
    <d v="2022-04-30T00:00:00"/>
    <s v="Shipped"/>
    <x v="1"/>
    <s v="Amazon"/>
    <s v="Amazon.in"/>
    <s v="Expedited"/>
    <x v="81"/>
    <x v="2"/>
    <x v="7"/>
    <s v="Shipped"/>
    <n v="1"/>
    <s v="INR"/>
    <n v="744"/>
    <s v="DHARMAPURI"/>
    <x v="3"/>
    <s v="IN"/>
    <x v="0"/>
    <x v="1"/>
  </r>
  <r>
    <s v="405-1492294-0323520"/>
    <d v="2022-04-30T00:00:00"/>
    <s v="Shipped"/>
    <x v="1"/>
    <s v="Amazon"/>
    <s v="Amazon.in"/>
    <s v="Expedited"/>
    <x v="82"/>
    <x v="2"/>
    <x v="2"/>
    <s v="Shipped"/>
    <n v="1"/>
    <s v="INR"/>
    <n v="744"/>
    <s v="DEHRADUN"/>
    <x v="20"/>
    <s v="IN"/>
    <x v="0"/>
    <x v="1"/>
  </r>
  <r>
    <s v="403-1162895-2484367"/>
    <d v="2022-04-30T00:00:00"/>
    <s v="Shipped - Delivered to Buyer"/>
    <x v="1"/>
    <s v="Merchant"/>
    <s v="Amazon.in"/>
    <s v="Standard"/>
    <x v="83"/>
    <x v="2"/>
    <x v="4"/>
    <s v="Shipped"/>
    <n v="1"/>
    <s v="INR"/>
    <n v="859"/>
    <s v="JAIPUR"/>
    <x v="8"/>
    <s v="IN"/>
    <x v="0"/>
    <x v="0"/>
  </r>
  <r>
    <s v="171-6833843-5473114"/>
    <d v="2022-04-30T00:00:00"/>
    <s v="Shipped"/>
    <x v="1"/>
    <s v="Amazon"/>
    <s v="Amazon.in"/>
    <s v="Expedited"/>
    <x v="84"/>
    <x v="1"/>
    <x v="7"/>
    <s v="Shipped"/>
    <n v="1"/>
    <s v="INR"/>
    <n v="487"/>
    <s v="VADODARA"/>
    <x v="19"/>
    <s v="IN"/>
    <x v="0"/>
    <x v="1"/>
  </r>
  <r>
    <s v="403-1477057-8253913"/>
    <d v="2022-04-30T00:00:00"/>
    <s v="Shipped"/>
    <x v="1"/>
    <s v="Amazon"/>
    <s v="Amazon.in"/>
    <s v="Expedited"/>
    <x v="85"/>
    <x v="2"/>
    <x v="1"/>
    <s v="Shipped"/>
    <n v="1"/>
    <s v="INR"/>
    <n v="825"/>
    <s v="CHAVAKKAD"/>
    <x v="15"/>
    <s v="IN"/>
    <x v="0"/>
    <x v="1"/>
  </r>
  <r>
    <s v="408-2114413-6089906"/>
    <d v="2022-04-30T00:00:00"/>
    <s v="Shipped"/>
    <x v="1"/>
    <s v="Amazon"/>
    <s v="Amazon.in"/>
    <s v="Expedited"/>
    <x v="86"/>
    <x v="0"/>
    <x v="7"/>
    <s v="Shipped"/>
    <n v="1"/>
    <s v="INR"/>
    <n v="680"/>
    <s v="PATNA"/>
    <x v="21"/>
    <s v="IN"/>
    <x v="0"/>
    <x v="1"/>
  </r>
  <r>
    <s v="405-1879750-2639521"/>
    <d v="2022-04-30T00:00:00"/>
    <s v="Shipped - Delivered to Buyer"/>
    <x v="1"/>
    <s v="Merchant"/>
    <s v="Amazon.in"/>
    <s v="Standard"/>
    <x v="87"/>
    <x v="1"/>
    <x v="1"/>
    <s v="Shipped"/>
    <n v="1"/>
    <s v="INR"/>
    <n v="725"/>
    <s v="CHENNAI"/>
    <x v="3"/>
    <s v="IN"/>
    <x v="0"/>
    <x v="0"/>
  </r>
  <r>
    <s v="406-5727754-5302723"/>
    <d v="2022-04-30T00:00:00"/>
    <s v="Shipped"/>
    <x v="1"/>
    <s v="Amazon"/>
    <s v="Amazon.in"/>
    <s v="Expedited"/>
    <x v="88"/>
    <x v="0"/>
    <x v="7"/>
    <s v="Shipped"/>
    <n v="1"/>
    <s v="INR"/>
    <n v="696"/>
    <s v="VADODARA"/>
    <x v="19"/>
    <s v="IN"/>
    <x v="0"/>
    <x v="1"/>
  </r>
  <r>
    <s v="405-0901744-8270705"/>
    <d v="2022-04-30T00:00:00"/>
    <s v="Shipped"/>
    <x v="1"/>
    <s v="Amazon"/>
    <s v="Amazon.in"/>
    <s v="Expedited"/>
    <x v="89"/>
    <x v="1"/>
    <x v="3"/>
    <s v="Shipped"/>
    <n v="1"/>
    <s v="INR"/>
    <n v="499"/>
    <s v="VADODARA"/>
    <x v="19"/>
    <s v="IN"/>
    <x v="0"/>
    <x v="1"/>
  </r>
  <r>
    <s v="408-6357132-2310703"/>
    <d v="2022-04-30T00:00:00"/>
    <s v="Shipped"/>
    <x v="1"/>
    <s v="Amazon"/>
    <s v="Amazon.in"/>
    <s v="Expedited"/>
    <x v="90"/>
    <x v="0"/>
    <x v="3"/>
    <s v="Shipped"/>
    <n v="1"/>
    <s v="INR"/>
    <n v="696"/>
    <s v="Jammu"/>
    <x v="22"/>
    <s v="IN"/>
    <x v="0"/>
    <x v="1"/>
  </r>
  <r>
    <s v="406-5334922-9670748"/>
    <d v="2022-04-30T00:00:00"/>
    <s v="Shipped"/>
    <x v="1"/>
    <s v="Amazon"/>
    <s v="Amazon.in"/>
    <s v="Expedited"/>
    <x v="91"/>
    <x v="1"/>
    <x v="1"/>
    <s v="Shipped"/>
    <n v="1"/>
    <s v="INR"/>
    <n v="406"/>
    <s v="bangalore"/>
    <x v="1"/>
    <s v="IN"/>
    <x v="0"/>
    <x v="1"/>
  </r>
  <r>
    <s v="402-8519791-3706738"/>
    <d v="2022-04-30T00:00:00"/>
    <s v="Shipped"/>
    <x v="1"/>
    <s v="Amazon"/>
    <s v="Amazon.in"/>
    <s v="Expedited"/>
    <x v="92"/>
    <x v="0"/>
    <x v="0"/>
    <s v="Shipped"/>
    <n v="1"/>
    <s v="INR"/>
    <n v="852"/>
    <s v="NEW DELHI"/>
    <x v="9"/>
    <s v="IN"/>
    <x v="0"/>
    <x v="1"/>
  </r>
  <r>
    <s v="408-1830318-0357940"/>
    <d v="2022-04-30T00:00:00"/>
    <s v="Shipped"/>
    <x v="1"/>
    <s v="Amazon"/>
    <s v="Amazon.in"/>
    <s v="Expedited"/>
    <x v="72"/>
    <x v="1"/>
    <x v="4"/>
    <s v="Shipped"/>
    <n v="1"/>
    <s v="INR"/>
    <n v="399"/>
    <s v="NARNAUND"/>
    <x v="10"/>
    <s v="IN"/>
    <x v="0"/>
    <x v="1"/>
  </r>
  <r>
    <s v="406-5103760-7326749"/>
    <d v="2022-04-30T00:00:00"/>
    <s v="Shipped"/>
    <x v="1"/>
    <s v="Amazon"/>
    <s v="Amazon.in"/>
    <s v="Expedited"/>
    <x v="93"/>
    <x v="1"/>
    <x v="4"/>
    <s v="Shipped"/>
    <n v="1"/>
    <s v="INR"/>
    <n v="432"/>
    <s v="Ahmedabad"/>
    <x v="19"/>
    <s v="IN"/>
    <x v="0"/>
    <x v="1"/>
  </r>
  <r>
    <s v="408-7698765-2294756"/>
    <d v="2022-04-30T00:00:00"/>
    <s v="Shipped - Delivered to Buyer"/>
    <x v="1"/>
    <s v="Merchant"/>
    <s v="Amazon.in"/>
    <s v="Standard"/>
    <x v="94"/>
    <x v="0"/>
    <x v="4"/>
    <s v="Shipped"/>
    <n v="1"/>
    <s v="INR"/>
    <n v="1338"/>
    <s v="AMBARNATH"/>
    <x v="0"/>
    <s v="IN"/>
    <x v="0"/>
    <x v="0"/>
  </r>
  <r>
    <s v="404-1856281-9996319"/>
    <d v="2022-04-30T00:00:00"/>
    <s v="Shipped - Delivered to Buyer"/>
    <x v="1"/>
    <s v="Merchant"/>
    <s v="Amazon.in"/>
    <s v="Standard"/>
    <x v="95"/>
    <x v="2"/>
    <x v="0"/>
    <s v="Shipped"/>
    <n v="1"/>
    <s v="INR"/>
    <n v="472"/>
    <s v="GWALIOR"/>
    <x v="16"/>
    <s v="IN"/>
    <x v="0"/>
    <x v="0"/>
  </r>
  <r>
    <s v="406-5406738-7113145"/>
    <d v="2022-04-30T00:00:00"/>
    <s v="Shipped"/>
    <x v="1"/>
    <s v="Amazon"/>
    <s v="Amazon.in"/>
    <s v="Expedited"/>
    <x v="42"/>
    <x v="0"/>
    <x v="3"/>
    <s v="Shipped"/>
    <n v="1"/>
    <s v="INR"/>
    <n v="788"/>
    <s v="NEW DELHI"/>
    <x v="9"/>
    <s v="IN"/>
    <x v="0"/>
    <x v="1"/>
  </r>
  <r>
    <s v="405-5257740-5301158"/>
    <d v="2022-04-30T00:00:00"/>
    <s v="Shipped - Delivered to Buyer"/>
    <x v="1"/>
    <s v="Merchant"/>
    <s v="Amazon.in"/>
    <s v="Standard"/>
    <x v="96"/>
    <x v="0"/>
    <x v="2"/>
    <s v="Shipped"/>
    <n v="1"/>
    <s v="INR"/>
    <n v="832"/>
    <s v="ROHTAK"/>
    <x v="10"/>
    <s v="IN"/>
    <x v="0"/>
    <x v="0"/>
  </r>
  <r>
    <s v="405-5257740-5301158"/>
    <d v="2022-04-30T00:00:00"/>
    <s v="Shipped - Delivered to Buyer"/>
    <x v="1"/>
    <s v="Merchant"/>
    <s v="Amazon.in"/>
    <s v="Standard"/>
    <x v="97"/>
    <x v="1"/>
    <x v="2"/>
    <s v="Shipped"/>
    <n v="1"/>
    <s v="INR"/>
    <n v="399"/>
    <s v="ROHTAK"/>
    <x v="10"/>
    <s v="IN"/>
    <x v="0"/>
    <x v="0"/>
  </r>
  <r>
    <s v="405-2072502-4089911"/>
    <d v="2022-04-30T00:00:00"/>
    <s v="Shipped"/>
    <x v="1"/>
    <s v="Amazon"/>
    <s v="Amazon.in"/>
    <s v="Expedited"/>
    <x v="98"/>
    <x v="0"/>
    <x v="2"/>
    <s v="Shipped"/>
    <n v="1"/>
    <s v="INR"/>
    <n v="599"/>
    <s v="ROHTAK"/>
    <x v="10"/>
    <s v="IN"/>
    <x v="0"/>
    <x v="1"/>
  </r>
  <r>
    <s v="405-0882561-5952340"/>
    <d v="2022-04-30T00:00:00"/>
    <s v="Shipped"/>
    <x v="1"/>
    <s v="Amazon"/>
    <s v="Amazon.in"/>
    <s v="Expedited"/>
    <x v="99"/>
    <x v="0"/>
    <x v="7"/>
    <s v="Shipped"/>
    <n v="1"/>
    <s v="INR"/>
    <n v="692"/>
    <s v="Kolkata"/>
    <x v="17"/>
    <s v="IN"/>
    <x v="0"/>
    <x v="1"/>
  </r>
  <r>
    <s v="403-7266170-1163500"/>
    <d v="2022-04-30T00:00:00"/>
    <s v="Shipped - Delivered to Buyer"/>
    <x v="1"/>
    <s v="Merchant"/>
    <s v="Amazon.in"/>
    <s v="Standard"/>
    <x v="100"/>
    <x v="3"/>
    <x v="7"/>
    <s v="Shipped"/>
    <n v="1"/>
    <s v="INR"/>
    <n v="518"/>
    <s v="MUMBAI"/>
    <x v="0"/>
    <s v="IN"/>
    <x v="0"/>
    <x v="0"/>
  </r>
  <r>
    <s v="405-8114272-1687512"/>
    <d v="2022-04-30T00:00:00"/>
    <s v="Shipped"/>
    <x v="1"/>
    <s v="Amazon"/>
    <s v="Amazon.in"/>
    <s v="Expedited"/>
    <x v="42"/>
    <x v="0"/>
    <x v="3"/>
    <s v="Shipped"/>
    <n v="1"/>
    <s v="INR"/>
    <n v="788"/>
    <s v="NEW DELHI"/>
    <x v="9"/>
    <s v="IN"/>
    <x v="0"/>
    <x v="1"/>
  </r>
  <r>
    <s v="171-6138639-1478731"/>
    <d v="2022-04-30T00:00:00"/>
    <s v="Shipped"/>
    <x v="1"/>
    <s v="Amazon"/>
    <s v="Amazon.in"/>
    <s v="Expedited"/>
    <x v="101"/>
    <x v="1"/>
    <x v="7"/>
    <s v="Shipped"/>
    <n v="1"/>
    <s v="INR"/>
    <n v="318"/>
    <s v="HYDERABAD"/>
    <x v="6"/>
    <s v="IN"/>
    <x v="0"/>
    <x v="1"/>
  </r>
  <r>
    <s v="405-4059216-4541150"/>
    <d v="2022-04-30T00:00:00"/>
    <s v="Shipped"/>
    <x v="1"/>
    <s v="Amazon"/>
    <s v="Amazon.in"/>
    <s v="Expedited"/>
    <x v="102"/>
    <x v="0"/>
    <x v="5"/>
    <s v="Shipped"/>
    <n v="1"/>
    <s v="INR"/>
    <n v="597"/>
    <s v="HYDERABAD"/>
    <x v="6"/>
    <s v="IN"/>
    <x v="0"/>
    <x v="1"/>
  </r>
  <r>
    <s v="405-1152015-7333945"/>
    <d v="2022-04-30T00:00:00"/>
    <s v="Shipped"/>
    <x v="1"/>
    <s v="Amazon"/>
    <s v="Amazon.in"/>
    <s v="Expedited"/>
    <x v="103"/>
    <x v="0"/>
    <x v="0"/>
    <s v="Shipped"/>
    <n v="1"/>
    <s v="INR"/>
    <n v="888"/>
    <s v="PATNA"/>
    <x v="21"/>
    <s v="IN"/>
    <x v="0"/>
    <x v="1"/>
  </r>
  <r>
    <s v="406-0177436-6731556"/>
    <d v="2022-04-30T00:00:00"/>
    <s v="Shipped"/>
    <x v="1"/>
    <s v="Amazon"/>
    <s v="Amazon.in"/>
    <s v="Expedited"/>
    <x v="104"/>
    <x v="1"/>
    <x v="0"/>
    <s v="Shipped"/>
    <n v="1"/>
    <s v="INR"/>
    <n v="406"/>
    <s v="RAMAGUNDAM"/>
    <x v="6"/>
    <s v="IN"/>
    <x v="0"/>
    <x v="1"/>
  </r>
  <r>
    <s v="406-0715107-8168308"/>
    <d v="2022-04-30T00:00:00"/>
    <s v="Shipped"/>
    <x v="1"/>
    <s v="Amazon"/>
    <s v="Amazon.in"/>
    <s v="Expedited"/>
    <x v="105"/>
    <x v="0"/>
    <x v="7"/>
    <s v="Shipped"/>
    <n v="1"/>
    <s v="INR"/>
    <n v="1186"/>
    <s v="PITHORAGARH"/>
    <x v="20"/>
    <s v="IN"/>
    <x v="0"/>
    <x v="1"/>
  </r>
  <r>
    <s v="403-0104882-7373900"/>
    <d v="2022-04-30T00:00:00"/>
    <s v="Cancelled"/>
    <x v="0"/>
    <s v="Amazon"/>
    <s v="Amazon.in"/>
    <s v="Expedited"/>
    <x v="106"/>
    <x v="2"/>
    <x v="4"/>
    <s v="Unshipped"/>
    <n v="1"/>
    <s v="INR"/>
    <n v="791"/>
    <s v="HIMMATNAGAR"/>
    <x v="19"/>
    <s v="IN"/>
    <x v="0"/>
    <x v="1"/>
  </r>
  <r>
    <s v="403-0104882-7373900"/>
    <d v="2022-04-30T00:00:00"/>
    <s v="Cancelled"/>
    <x v="0"/>
    <s v="Amazon"/>
    <s v="Amazon.in"/>
    <s v="Expedited"/>
    <x v="107"/>
    <x v="2"/>
    <x v="2"/>
    <s v="Unshipped"/>
    <n v="1"/>
    <s v="INR"/>
    <n v="807"/>
    <s v="HIMMATNAGAR"/>
    <x v="19"/>
    <s v="IN"/>
    <x v="0"/>
    <x v="1"/>
  </r>
  <r>
    <s v="403-0104882-7373900"/>
    <d v="2022-04-30T00:00:00"/>
    <s v="Cancelled"/>
    <x v="0"/>
    <s v="Amazon"/>
    <s v="Amazon.in"/>
    <s v="Expedited"/>
    <x v="108"/>
    <x v="2"/>
    <x v="4"/>
    <s v="Unshipped"/>
    <n v="1"/>
    <s v="INR"/>
    <n v="807"/>
    <s v="HIMMATNAGAR"/>
    <x v="19"/>
    <s v="IN"/>
    <x v="0"/>
    <x v="1"/>
  </r>
  <r>
    <s v="405-3002282-6797102"/>
    <d v="2022-04-30T00:00:00"/>
    <s v="Shipped"/>
    <x v="1"/>
    <s v="Amazon"/>
    <s v="Amazon.in"/>
    <s v="Expedited"/>
    <x v="109"/>
    <x v="1"/>
    <x v="0"/>
    <s v="Shipped"/>
    <n v="1"/>
    <s v="INR"/>
    <n v="311"/>
    <s v="KOLKATA"/>
    <x v="17"/>
    <s v="IN"/>
    <x v="0"/>
    <x v="1"/>
  </r>
  <r>
    <s v="407-8466904-3461908"/>
    <d v="2022-04-30T00:00:00"/>
    <s v="Shipped"/>
    <x v="1"/>
    <s v="Amazon"/>
    <s v="Amazon.in"/>
    <s v="Expedited"/>
    <x v="110"/>
    <x v="3"/>
    <x v="2"/>
    <s v="Shipped"/>
    <n v="1"/>
    <s v="INR"/>
    <n v="387"/>
    <s v="MUMBAI"/>
    <x v="0"/>
    <s v="IN"/>
    <x v="0"/>
    <x v="1"/>
  </r>
  <r>
    <s v="171-3305587-5364338"/>
    <d v="2022-04-30T00:00:00"/>
    <s v="Shipped"/>
    <x v="1"/>
    <s v="Amazon"/>
    <s v="Amazon.in"/>
    <s v="Expedited"/>
    <x v="111"/>
    <x v="1"/>
    <x v="0"/>
    <s v="Shipped"/>
    <n v="1"/>
    <s v="INR"/>
    <n v="348"/>
    <s v="HYDERABAD"/>
    <x v="6"/>
    <s v="IN"/>
    <x v="0"/>
    <x v="1"/>
  </r>
  <r>
    <s v="406-8961316-8137943"/>
    <d v="2022-04-30T00:00:00"/>
    <s v="Shipped - Delivered to Buyer"/>
    <x v="1"/>
    <s v="Merchant"/>
    <s v="Amazon.in"/>
    <s v="Standard"/>
    <x v="112"/>
    <x v="0"/>
    <x v="0"/>
    <s v="Shipped"/>
    <n v="1"/>
    <s v="INR"/>
    <n v="597"/>
    <s v="GUWAHATI, KAMRUP (M)"/>
    <x v="11"/>
    <s v="IN"/>
    <x v="0"/>
    <x v="0"/>
  </r>
  <r>
    <s v="406-8961316-8137943"/>
    <d v="2022-04-30T00:00:00"/>
    <s v="Shipped - Delivered to Buyer"/>
    <x v="1"/>
    <s v="Merchant"/>
    <s v="Amazon.in"/>
    <s v="Standard"/>
    <x v="113"/>
    <x v="0"/>
    <x v="0"/>
    <s v="Shipped"/>
    <n v="1"/>
    <s v="INR"/>
    <n v="549"/>
    <s v="GUWAHATI, KAMRUP (M)"/>
    <x v="11"/>
    <s v="IN"/>
    <x v="0"/>
    <x v="0"/>
  </r>
  <r>
    <s v="171-2813040-8296320"/>
    <d v="2022-04-30T00:00:00"/>
    <s v="Shipped"/>
    <x v="1"/>
    <s v="Amazon"/>
    <s v="Amazon.in"/>
    <s v="Expedited"/>
    <x v="114"/>
    <x v="0"/>
    <x v="1"/>
    <s v="Shipped"/>
    <n v="1"/>
    <s v="INR"/>
    <n v="635"/>
    <s v="KOLAR"/>
    <x v="1"/>
    <s v="IN"/>
    <x v="0"/>
    <x v="1"/>
  </r>
  <r>
    <s v="408-9845791-1393151"/>
    <d v="2022-04-30T00:00:00"/>
    <s v="Shipped"/>
    <x v="1"/>
    <s v="Amazon"/>
    <s v="Amazon.in"/>
    <s v="Expedited"/>
    <x v="54"/>
    <x v="0"/>
    <x v="5"/>
    <s v="Shipped"/>
    <n v="1"/>
    <s v="INR"/>
    <n v="597"/>
    <s v="PATIALA"/>
    <x v="23"/>
    <s v="IN"/>
    <x v="0"/>
    <x v="1"/>
  </r>
  <r>
    <s v="402-4277204-2348328"/>
    <d v="2022-04-30T00:00:00"/>
    <s v="Shipped"/>
    <x v="1"/>
    <s v="Amazon"/>
    <s v="Amazon.in"/>
    <s v="Expedited"/>
    <x v="115"/>
    <x v="0"/>
    <x v="0"/>
    <s v="Shipped"/>
    <n v="1"/>
    <s v="INR"/>
    <n v="790"/>
    <s v="REWA"/>
    <x v="16"/>
    <s v="IN"/>
    <x v="0"/>
    <x v="1"/>
  </r>
  <r>
    <s v="171-3049339-2085136"/>
    <d v="2022-04-30T00:00:00"/>
    <s v="Shipped"/>
    <x v="1"/>
    <s v="Amazon"/>
    <s v="Amazon.in"/>
    <s v="Expedited"/>
    <x v="116"/>
    <x v="1"/>
    <x v="4"/>
    <s v="Shipped"/>
    <n v="1"/>
    <s v="INR"/>
    <n v="375"/>
    <s v="BONGAIGAON"/>
    <x v="11"/>
    <s v="IN"/>
    <x v="0"/>
    <x v="1"/>
  </r>
  <r>
    <s v="405-9928526-2470747"/>
    <d v="2022-04-30T00:00:00"/>
    <s v="Shipped"/>
    <x v="1"/>
    <s v="Amazon"/>
    <s v="Amazon.in"/>
    <s v="Expedited"/>
    <x v="117"/>
    <x v="0"/>
    <x v="5"/>
    <s v="Shipped"/>
    <n v="1"/>
    <s v="INR"/>
    <n v="1115"/>
    <s v="HYDERABAD"/>
    <x v="6"/>
    <s v="IN"/>
    <x v="0"/>
    <x v="1"/>
  </r>
  <r>
    <s v="405-4908072-0260360"/>
    <d v="2022-04-30T00:00:00"/>
    <s v="Shipped - Delivered to Buyer"/>
    <x v="1"/>
    <s v="Merchant"/>
    <s v="Amazon.in"/>
    <s v="Standard"/>
    <x v="118"/>
    <x v="1"/>
    <x v="1"/>
    <s v="Shipped"/>
    <n v="1"/>
    <s v="INR"/>
    <n v="579"/>
    <s v="BENGALURU"/>
    <x v="1"/>
    <s v="IN"/>
    <x v="0"/>
    <x v="0"/>
  </r>
  <r>
    <s v="406-3984186-5973150"/>
    <d v="2022-04-30T00:00:00"/>
    <s v="Shipped"/>
    <x v="1"/>
    <s v="Amazon"/>
    <s v="Amazon.in"/>
    <s v="Expedited"/>
    <x v="119"/>
    <x v="0"/>
    <x v="4"/>
    <s v="Shipped"/>
    <n v="1"/>
    <s v="INR"/>
    <n v="788"/>
    <s v="Chengalpattu"/>
    <x v="3"/>
    <s v="IN"/>
    <x v="0"/>
    <x v="1"/>
  </r>
  <r>
    <s v="171-8635309-7508346"/>
    <d v="2022-04-30T00:00:00"/>
    <s v="Shipped"/>
    <x v="1"/>
    <s v="Amazon"/>
    <s v="Amazon.in"/>
    <s v="Expedited"/>
    <x v="120"/>
    <x v="0"/>
    <x v="7"/>
    <s v="Shipped"/>
    <n v="1"/>
    <s v="INR"/>
    <n v="597"/>
    <s v="PERAMBALUR"/>
    <x v="3"/>
    <s v="IN"/>
    <x v="0"/>
    <x v="1"/>
  </r>
  <r>
    <s v="402-8288606-4313118"/>
    <d v="2022-04-30T00:00:00"/>
    <s v="Shipped"/>
    <x v="1"/>
    <s v="Amazon"/>
    <s v="Amazon.in"/>
    <s v="Expedited"/>
    <x v="121"/>
    <x v="1"/>
    <x v="7"/>
    <s v="Shipped"/>
    <n v="1"/>
    <s v="INR"/>
    <n v="517"/>
    <s v="BILASPUR"/>
    <x v="24"/>
    <s v="IN"/>
    <x v="0"/>
    <x v="1"/>
  </r>
  <r>
    <s v="402-8746990-6412346"/>
    <d v="2022-04-30T00:00:00"/>
    <s v="Shipped"/>
    <x v="1"/>
    <s v="Amazon"/>
    <s v="Amazon.in"/>
    <s v="Expedited"/>
    <x v="122"/>
    <x v="1"/>
    <x v="4"/>
    <s v="Shipped"/>
    <n v="1"/>
    <s v="INR"/>
    <n v="442"/>
    <s v="CHENNAI"/>
    <x v="3"/>
    <s v="IN"/>
    <x v="0"/>
    <x v="1"/>
  </r>
  <r>
    <s v="402-0294212-5431551"/>
    <d v="2022-04-30T00:00:00"/>
    <s v="Shipped"/>
    <x v="1"/>
    <s v="Amazon"/>
    <s v="Amazon.in"/>
    <s v="Expedited"/>
    <x v="123"/>
    <x v="1"/>
    <x v="1"/>
    <s v="Shipped"/>
    <n v="1"/>
    <s v="INR"/>
    <n v="399"/>
    <s v="VARANASI"/>
    <x v="4"/>
    <s v="IN"/>
    <x v="0"/>
    <x v="1"/>
  </r>
  <r>
    <s v="406-1530134-2105912"/>
    <d v="2022-04-30T00:00:00"/>
    <s v="Shipped"/>
    <x v="1"/>
    <s v="Amazon"/>
    <s v="Amazon.in"/>
    <s v="Expedited"/>
    <x v="124"/>
    <x v="1"/>
    <x v="4"/>
    <s v="Shipped"/>
    <n v="1"/>
    <s v="INR"/>
    <n v="518"/>
    <s v="BENGALURU"/>
    <x v="1"/>
    <s v="IN"/>
    <x v="0"/>
    <x v="1"/>
  </r>
  <r>
    <s v="403-5222550-4437140"/>
    <d v="2022-04-30T00:00:00"/>
    <s v="Shipped"/>
    <x v="1"/>
    <s v="Amazon"/>
    <s v="Amazon.in"/>
    <s v="Expedited"/>
    <x v="125"/>
    <x v="1"/>
    <x v="7"/>
    <s v="Shipped"/>
    <n v="1"/>
    <s v="INR"/>
    <n v="348"/>
    <s v="COIMBATORE"/>
    <x v="3"/>
    <s v="IN"/>
    <x v="0"/>
    <x v="1"/>
  </r>
  <r>
    <s v="408-1482435-5202714"/>
    <d v="2022-04-30T00:00:00"/>
    <s v="Shipped - Delivered to Buyer"/>
    <x v="1"/>
    <s v="Merchant"/>
    <s v="Amazon.in"/>
    <s v="Standard"/>
    <x v="126"/>
    <x v="0"/>
    <x v="7"/>
    <s v="Shipped"/>
    <n v="1"/>
    <s v="INR"/>
    <n v="788"/>
    <s v="CHIRMIRI"/>
    <x v="13"/>
    <s v="IN"/>
    <x v="0"/>
    <x v="0"/>
  </r>
  <r>
    <s v="408-3113070-0750756"/>
    <d v="2022-04-30T00:00:00"/>
    <s v="Shipped"/>
    <x v="1"/>
    <s v="Amazon"/>
    <s v="Amazon.in"/>
    <s v="Expedited"/>
    <x v="120"/>
    <x v="0"/>
    <x v="7"/>
    <s v="Shipped"/>
    <n v="1"/>
    <s v="INR"/>
    <n v="597"/>
    <s v="KALYAN"/>
    <x v="0"/>
    <s v="IN"/>
    <x v="0"/>
    <x v="1"/>
  </r>
  <r>
    <s v="404-7796841-1880317"/>
    <d v="2022-04-30T00:00:00"/>
    <s v="Shipped"/>
    <x v="1"/>
    <s v="Amazon"/>
    <s v="Amazon.in"/>
    <s v="Expedited"/>
    <x v="127"/>
    <x v="1"/>
    <x v="0"/>
    <s v="Shipped"/>
    <n v="1"/>
    <s v="INR"/>
    <n v="696"/>
    <s v="NEW DELHI"/>
    <x v="9"/>
    <s v="IN"/>
    <x v="0"/>
    <x v="1"/>
  </r>
  <r>
    <s v="405-2142542-0941949"/>
    <d v="2022-04-30T00:00:00"/>
    <s v="Shipped"/>
    <x v="1"/>
    <s v="Amazon"/>
    <s v="Amazon.in"/>
    <s v="Expedited"/>
    <x v="128"/>
    <x v="1"/>
    <x v="2"/>
    <s v="Shipped"/>
    <n v="1"/>
    <s v="INR"/>
    <n v="363"/>
    <s v="HYDERABAD"/>
    <x v="6"/>
    <s v="IN"/>
    <x v="0"/>
    <x v="1"/>
  </r>
  <r>
    <s v="405-0286717-7761132"/>
    <d v="2022-04-30T00:00:00"/>
    <s v="Shipped"/>
    <x v="1"/>
    <s v="Amazon"/>
    <s v="Amazon.in"/>
    <s v="Standard"/>
    <x v="129"/>
    <x v="1"/>
    <x v="2"/>
    <s v="Shipped"/>
    <n v="1"/>
    <s v="INR"/>
    <n v="299"/>
    <s v="HYDERABAD"/>
    <x v="6"/>
    <s v="IN"/>
    <x v="0"/>
    <x v="1"/>
  </r>
  <r>
    <s v="406-9021273-9221106"/>
    <d v="2022-04-30T00:00:00"/>
    <s v="Shipped"/>
    <x v="1"/>
    <s v="Amazon"/>
    <s v="Amazon.in"/>
    <s v="Expedited"/>
    <x v="130"/>
    <x v="2"/>
    <x v="0"/>
    <s v="Shipped"/>
    <n v="1"/>
    <s v="INR"/>
    <n v="690"/>
    <s v="GUWAHATI"/>
    <x v="11"/>
    <s v="IN"/>
    <x v="0"/>
    <x v="1"/>
  </r>
  <r>
    <s v="404-5381335-4577925"/>
    <d v="2022-04-30T00:00:00"/>
    <s v="Shipped"/>
    <x v="1"/>
    <s v="Amazon"/>
    <s v="Amazon.in"/>
    <s v="Expedited"/>
    <x v="131"/>
    <x v="3"/>
    <x v="5"/>
    <s v="Shipped"/>
    <n v="1"/>
    <s v="INR"/>
    <n v="574"/>
    <s v="MYSORE"/>
    <x v="1"/>
    <s v="IN"/>
    <x v="0"/>
    <x v="1"/>
  </r>
  <r>
    <s v="171-0131752-2560336"/>
    <d v="2022-04-30T00:00:00"/>
    <s v="Shipped - Delivered to Buyer"/>
    <x v="1"/>
    <s v="Merchant"/>
    <s v="Amazon.in"/>
    <s v="Standard"/>
    <x v="132"/>
    <x v="0"/>
    <x v="7"/>
    <s v="Shipped"/>
    <n v="1"/>
    <s v="INR"/>
    <n v="1399"/>
    <s v="BARABANKI"/>
    <x v="4"/>
    <s v="IN"/>
    <x v="0"/>
    <x v="0"/>
  </r>
  <r>
    <s v="407-4235449-1353916"/>
    <d v="2022-04-30T00:00:00"/>
    <s v="Shipped - Delivered to Buyer"/>
    <x v="1"/>
    <s v="Merchant"/>
    <s v="Amazon.in"/>
    <s v="Standard"/>
    <x v="133"/>
    <x v="0"/>
    <x v="0"/>
    <s v="Shipped"/>
    <n v="1"/>
    <s v="INR"/>
    <n v="999"/>
    <s v="AMILA"/>
    <x v="4"/>
    <s v="IN"/>
    <x v="0"/>
    <x v="0"/>
  </r>
  <r>
    <s v="171-8061614-5688327"/>
    <d v="2022-04-30T00:00:00"/>
    <s v="Shipped"/>
    <x v="1"/>
    <s v="Amazon"/>
    <s v="Amazon.in"/>
    <s v="Expedited"/>
    <x v="134"/>
    <x v="0"/>
    <x v="2"/>
    <s v="Shipped"/>
    <n v="1"/>
    <s v="INR"/>
    <n v="999"/>
    <s v="VIJAYAWADA"/>
    <x v="7"/>
    <s v="IN"/>
    <x v="0"/>
    <x v="1"/>
  </r>
  <r>
    <s v="407-8248783-4261958"/>
    <d v="2022-04-30T00:00:00"/>
    <s v="Shipped"/>
    <x v="1"/>
    <s v="Amazon"/>
    <s v="Amazon.in"/>
    <s v="Expedited"/>
    <x v="135"/>
    <x v="1"/>
    <x v="2"/>
    <s v="Shipped"/>
    <n v="1"/>
    <s v="INR"/>
    <n v="487"/>
    <s v="RAWAN AMBUJA CEMENT PLANT"/>
    <x v="13"/>
    <s v="IN"/>
    <x v="0"/>
    <x v="1"/>
  </r>
  <r>
    <s v="404-6513062-3876305"/>
    <d v="2022-04-30T00:00:00"/>
    <s v="Shipped - Delivered to Buyer"/>
    <x v="1"/>
    <s v="Merchant"/>
    <s v="Amazon.in"/>
    <s v="Standard"/>
    <x v="136"/>
    <x v="1"/>
    <x v="1"/>
    <s v="Shipped"/>
    <n v="1"/>
    <s v="INR"/>
    <n v="376"/>
    <s v="TIRUCHIRAPPALLI"/>
    <x v="3"/>
    <s v="IN"/>
    <x v="0"/>
    <x v="0"/>
  </r>
  <r>
    <s v="406-7779874-9136347"/>
    <d v="2022-04-30T00:00:00"/>
    <s v="Shipped"/>
    <x v="1"/>
    <s v="Amazon"/>
    <s v="Amazon.in"/>
    <s v="Expedited"/>
    <x v="137"/>
    <x v="0"/>
    <x v="3"/>
    <s v="Shipped"/>
    <n v="1"/>
    <s v="INR"/>
    <n v="1115"/>
    <s v="HERBERTPUR"/>
    <x v="20"/>
    <s v="IN"/>
    <x v="0"/>
    <x v="1"/>
  </r>
  <r>
    <s v="406-9638549-1733961"/>
    <d v="2022-04-30T00:00:00"/>
    <s v="Shipped"/>
    <x v="1"/>
    <s v="Amazon"/>
    <s v="Amazon.in"/>
    <s v="Expedited"/>
    <x v="138"/>
    <x v="0"/>
    <x v="4"/>
    <s v="Shipped"/>
    <n v="1"/>
    <s v="INR"/>
    <n v="517"/>
    <s v="BENGALURU"/>
    <x v="1"/>
    <s v="IN"/>
    <x v="0"/>
    <x v="1"/>
  </r>
  <r>
    <s v="407-8801185-0134713"/>
    <d v="2022-04-30T00:00:00"/>
    <s v="Shipped"/>
    <x v="1"/>
    <s v="Amazon"/>
    <s v="Amazon.in"/>
    <s v="Expedited"/>
    <x v="139"/>
    <x v="0"/>
    <x v="0"/>
    <s v="Shipped"/>
    <n v="1"/>
    <s v="INR"/>
    <n v="1126"/>
    <s v="bangalore"/>
    <x v="1"/>
    <s v="IN"/>
    <x v="0"/>
    <x v="1"/>
  </r>
  <r>
    <s v="171-3625443-6505905"/>
    <d v="2022-04-30T00:00:00"/>
    <s v="Shipped"/>
    <x v="1"/>
    <s v="Amazon"/>
    <s v="Amazon.in"/>
    <s v="Expedited"/>
    <x v="140"/>
    <x v="2"/>
    <x v="3"/>
    <s v="Shipped"/>
    <n v="1"/>
    <s v="INR"/>
    <n v="725"/>
    <s v="KALAMASSERY"/>
    <x v="15"/>
    <s v="IN"/>
    <x v="0"/>
    <x v="1"/>
  </r>
  <r>
    <s v="402-2820441-9623566"/>
    <d v="2022-04-30T00:00:00"/>
    <s v="Shipped"/>
    <x v="1"/>
    <s v="Amazon"/>
    <s v="Amazon.in"/>
    <s v="Expedited"/>
    <x v="141"/>
    <x v="2"/>
    <x v="4"/>
    <s v="Shipped"/>
    <n v="1"/>
    <s v="INR"/>
    <n v="721"/>
    <s v="TIKABALI"/>
    <x v="14"/>
    <s v="IN"/>
    <x v="0"/>
    <x v="1"/>
  </r>
  <r>
    <s v="171-4312987-5366767"/>
    <d v="2022-04-30T00:00:00"/>
    <s v="Shipped"/>
    <x v="1"/>
    <s v="Amazon"/>
    <s v="Amazon.in"/>
    <s v="Expedited"/>
    <x v="142"/>
    <x v="0"/>
    <x v="5"/>
    <s v="Shipped"/>
    <n v="1"/>
    <s v="INR"/>
    <n v="666"/>
    <s v="BIHARSHARIF"/>
    <x v="21"/>
    <s v="IN"/>
    <x v="0"/>
    <x v="1"/>
  </r>
  <r>
    <s v="403-5189998-9343503"/>
    <d v="2022-04-30T00:00:00"/>
    <s v="Shipped"/>
    <x v="1"/>
    <s v="Amazon"/>
    <s v="Amazon.in"/>
    <s v="Expedited"/>
    <x v="143"/>
    <x v="0"/>
    <x v="3"/>
    <s v="Shipped"/>
    <n v="1"/>
    <s v="INR"/>
    <n v="496"/>
    <s v="HYDERABAD"/>
    <x v="6"/>
    <s v="IN"/>
    <x v="0"/>
    <x v="1"/>
  </r>
  <r>
    <s v="407-9863928-5979501"/>
    <d v="2022-04-30T00:00:00"/>
    <s v="Shipped - Delivered to Buyer"/>
    <x v="1"/>
    <s v="Merchant"/>
    <s v="Amazon.in"/>
    <s v="Standard"/>
    <x v="144"/>
    <x v="1"/>
    <x v="2"/>
    <s v="Shipped"/>
    <n v="1"/>
    <s v="INR"/>
    <n v="353"/>
    <s v="PARAVUR"/>
    <x v="15"/>
    <s v="IN"/>
    <x v="0"/>
    <x v="0"/>
  </r>
  <r>
    <s v="171-4644162-9093116"/>
    <d v="2022-04-30T00:00:00"/>
    <s v="Shipped - Delivered to Buyer"/>
    <x v="1"/>
    <s v="Merchant"/>
    <s v="Amazon.in"/>
    <s v="Standard"/>
    <x v="145"/>
    <x v="1"/>
    <x v="0"/>
    <s v="Shipped"/>
    <n v="1"/>
    <s v="INR"/>
    <n v="399"/>
    <s v="BASTI"/>
    <x v="4"/>
    <s v="IN"/>
    <x v="0"/>
    <x v="0"/>
  </r>
  <r>
    <s v="406-0974406-3179521"/>
    <d v="2022-04-30T00:00:00"/>
    <s v="Shipped"/>
    <x v="1"/>
    <s v="Amazon"/>
    <s v="Amazon.in"/>
    <s v="Expedited"/>
    <x v="146"/>
    <x v="1"/>
    <x v="6"/>
    <s v="Shipped"/>
    <n v="1"/>
    <s v="INR"/>
    <n v="458"/>
    <s v="WALAJAPET"/>
    <x v="3"/>
    <s v="IN"/>
    <x v="0"/>
    <x v="1"/>
  </r>
  <r>
    <s v="402-0048138-1845122"/>
    <d v="2022-04-30T00:00:00"/>
    <s v="Shipped"/>
    <x v="1"/>
    <s v="Amazon"/>
    <s v="Amazon.in"/>
    <s v="Expedited"/>
    <x v="147"/>
    <x v="0"/>
    <x v="1"/>
    <s v="Shipped"/>
    <n v="1"/>
    <s v="INR"/>
    <n v="1115"/>
    <s v="Dimapur"/>
    <x v="18"/>
    <s v="IN"/>
    <x v="0"/>
    <x v="1"/>
  </r>
  <r>
    <s v="407-6283946-7749133"/>
    <d v="2022-04-30T00:00:00"/>
    <s v="Shipped"/>
    <x v="1"/>
    <s v="Amazon"/>
    <s v="Amazon.in"/>
    <s v="Expedited"/>
    <x v="148"/>
    <x v="4"/>
    <x v="7"/>
    <s v="Shipped"/>
    <n v="1"/>
    <s v="INR"/>
    <n v="845"/>
    <s v="Bengaluru"/>
    <x v="1"/>
    <s v="IN"/>
    <x v="0"/>
    <x v="1"/>
  </r>
  <r>
    <s v="407-0542879-1795554"/>
    <d v="2022-04-30T00:00:00"/>
    <s v="Shipped - Delivered to Buyer"/>
    <x v="1"/>
    <s v="Merchant"/>
    <s v="Amazon.in"/>
    <s v="Standard"/>
    <x v="7"/>
    <x v="1"/>
    <x v="0"/>
    <s v="Shipped"/>
    <n v="1"/>
    <s v="INR"/>
    <n v="399"/>
    <s v="Mahendragarh"/>
    <x v="10"/>
    <s v="IN"/>
    <x v="0"/>
    <x v="0"/>
  </r>
  <r>
    <s v="407-3742007-3242711"/>
    <d v="2022-04-30T00:00:00"/>
    <s v="Shipped"/>
    <x v="1"/>
    <s v="Amazon"/>
    <s v="Amazon.in"/>
    <s v="Expedited"/>
    <x v="149"/>
    <x v="1"/>
    <x v="0"/>
    <s v="Shipped"/>
    <n v="1"/>
    <s v="INR"/>
    <n v="517"/>
    <s v="HYDERABAD"/>
    <x v="6"/>
    <s v="IN"/>
    <x v="0"/>
    <x v="1"/>
  </r>
  <r>
    <s v="407-3742007-3242711"/>
    <d v="2022-04-30T00:00:00"/>
    <s v="Shipped"/>
    <x v="1"/>
    <s v="Amazon"/>
    <s v="Amazon.in"/>
    <s v="Expedited"/>
    <x v="150"/>
    <x v="1"/>
    <x v="0"/>
    <s v="Shipped"/>
    <n v="1"/>
    <s v="INR"/>
    <n v="517"/>
    <s v="HYDERABAD"/>
    <x v="6"/>
    <s v="IN"/>
    <x v="0"/>
    <x v="1"/>
  </r>
  <r>
    <s v="405-3067317-3360344"/>
    <d v="2022-04-30T00:00:00"/>
    <s v="Shipped"/>
    <x v="1"/>
    <s v="Amazon"/>
    <s v="Amazon.in"/>
    <s v="Expedited"/>
    <x v="151"/>
    <x v="1"/>
    <x v="1"/>
    <s v="Shipped"/>
    <n v="1"/>
    <s v="INR"/>
    <n v="599"/>
    <s v="GREATER NOIDA"/>
    <x v="4"/>
    <s v="IN"/>
    <x v="0"/>
    <x v="1"/>
  </r>
  <r>
    <s v="406-5648244-8317954"/>
    <d v="2022-04-30T00:00:00"/>
    <s v="Shipped"/>
    <x v="1"/>
    <s v="Amazon"/>
    <s v="Amazon.in"/>
    <s v="Expedited"/>
    <x v="152"/>
    <x v="3"/>
    <x v="1"/>
    <s v="Shipped"/>
    <n v="1"/>
    <s v="INR"/>
    <n v="487"/>
    <s v="New Delhi"/>
    <x v="9"/>
    <s v="IN"/>
    <x v="0"/>
    <x v="1"/>
  </r>
  <r>
    <s v="171-3460653-0171519"/>
    <d v="2022-04-30T00:00:00"/>
    <s v="Shipped"/>
    <x v="1"/>
    <s v="Amazon"/>
    <s v="Amazon.in"/>
    <s v="Expedited"/>
    <x v="153"/>
    <x v="3"/>
    <x v="4"/>
    <s v="Shipped"/>
    <n v="1"/>
    <s v="INR"/>
    <n v="487"/>
    <s v="GURUGRAM"/>
    <x v="10"/>
    <s v="IN"/>
    <x v="0"/>
    <x v="1"/>
  </r>
  <r>
    <s v="404-5337874-2284337"/>
    <d v="2022-04-30T00:00:00"/>
    <s v="Shipped"/>
    <x v="1"/>
    <s v="Amazon"/>
    <s v="Amazon.in"/>
    <s v="Expedited"/>
    <x v="154"/>
    <x v="0"/>
    <x v="5"/>
    <s v="Shipped"/>
    <n v="1"/>
    <s v="INR"/>
    <n v="568"/>
    <s v="BENGALURU"/>
    <x v="1"/>
    <s v="IN"/>
    <x v="0"/>
    <x v="1"/>
  </r>
  <r>
    <s v="405-2660443-4165145"/>
    <d v="2022-04-30T00:00:00"/>
    <s v="Shipped - Delivered to Buyer"/>
    <x v="1"/>
    <s v="Merchant"/>
    <s v="Amazon.in"/>
    <s v="Standard"/>
    <x v="47"/>
    <x v="1"/>
    <x v="7"/>
    <s v="Shipped"/>
    <n v="1"/>
    <s v="INR"/>
    <n v="399"/>
    <s v="BENGALURU"/>
    <x v="1"/>
    <s v="IN"/>
    <x v="0"/>
    <x v="0"/>
  </r>
  <r>
    <s v="402-3329522-2367566"/>
    <d v="2022-04-30T00:00:00"/>
    <s v="Shipped"/>
    <x v="1"/>
    <s v="Amazon"/>
    <s v="Amazon.in"/>
    <s v="Expedited"/>
    <x v="155"/>
    <x v="1"/>
    <x v="4"/>
    <s v="Shipped"/>
    <n v="1"/>
    <s v="INR"/>
    <n v="295"/>
    <s v="MUMBAI"/>
    <x v="0"/>
    <s v="IN"/>
    <x v="0"/>
    <x v="1"/>
  </r>
  <r>
    <s v="406-3078054-1755513"/>
    <d v="2022-04-30T00:00:00"/>
    <s v="Shipped"/>
    <x v="1"/>
    <s v="Amazon"/>
    <s v="Amazon.in"/>
    <s v="Expedited"/>
    <x v="156"/>
    <x v="1"/>
    <x v="1"/>
    <s v="Shipped"/>
    <n v="1"/>
    <s v="INR"/>
    <n v="484"/>
    <s v="BIJNOR"/>
    <x v="4"/>
    <s v="IN"/>
    <x v="0"/>
    <x v="1"/>
  </r>
  <r>
    <s v="171-4647176-6456305"/>
    <d v="2022-04-30T00:00:00"/>
    <s v="Shipped"/>
    <x v="1"/>
    <s v="Amazon"/>
    <s v="Amazon.in"/>
    <s v="Expedited"/>
    <x v="157"/>
    <x v="0"/>
    <x v="4"/>
    <s v="Shipped"/>
    <n v="1"/>
    <s v="INR"/>
    <n v="626"/>
    <s v="MUMBAI"/>
    <x v="0"/>
    <s v="IN"/>
    <x v="0"/>
    <x v="1"/>
  </r>
  <r>
    <s v="408-5011528-8276347"/>
    <d v="2022-04-30T00:00:00"/>
    <s v="Shipped"/>
    <x v="1"/>
    <s v="Amazon"/>
    <s v="Amazon.in"/>
    <s v="Expedited"/>
    <x v="22"/>
    <x v="0"/>
    <x v="7"/>
    <s v="Shipped"/>
    <n v="1"/>
    <s v="INR"/>
    <n v="563"/>
    <s v="ALLAHABAD"/>
    <x v="4"/>
    <s v="IN"/>
    <x v="0"/>
    <x v="1"/>
  </r>
  <r>
    <s v="407-4097885-3129958"/>
    <d v="2022-04-30T00:00:00"/>
    <s v="Shipped - Delivered to Buyer"/>
    <x v="1"/>
    <s v="Merchant"/>
    <s v="Amazon.in"/>
    <s v="Standard"/>
    <x v="158"/>
    <x v="3"/>
    <x v="3"/>
    <s v="Shipped"/>
    <n v="1"/>
    <s v="INR"/>
    <n v="387"/>
    <s v="VASAI VIRAR"/>
    <x v="0"/>
    <s v="IN"/>
    <x v="0"/>
    <x v="0"/>
  </r>
  <r>
    <s v="171-1224053-5752314"/>
    <d v="2022-04-30T00:00:00"/>
    <s v="Cancelled"/>
    <x v="0"/>
    <s v="Merchant"/>
    <s v="Amazon.in"/>
    <s v="Standard"/>
    <x v="159"/>
    <x v="3"/>
    <x v="3"/>
    <m/>
    <n v="0"/>
    <s v="INR"/>
    <n v="463.81"/>
    <s v="BENGALURU"/>
    <x v="1"/>
    <s v="IN"/>
    <x v="0"/>
    <x v="0"/>
  </r>
  <r>
    <s v="406-2849582-6531553"/>
    <d v="2022-04-30T00:00:00"/>
    <s v="Shipped"/>
    <x v="1"/>
    <s v="Amazon"/>
    <s v="Amazon.in"/>
    <s v="Expedited"/>
    <x v="160"/>
    <x v="3"/>
    <x v="3"/>
    <s v="Shipped"/>
    <n v="1"/>
    <s v="INR"/>
    <n v="512"/>
    <s v="BIJNOR"/>
    <x v="4"/>
    <s v="IN"/>
    <x v="0"/>
    <x v="1"/>
  </r>
  <r>
    <s v="407-5875767-6399551"/>
    <d v="2022-04-30T00:00:00"/>
    <s v="Shipped"/>
    <x v="1"/>
    <s v="Amazon"/>
    <s v="Amazon.in"/>
    <s v="Expedited"/>
    <x v="161"/>
    <x v="0"/>
    <x v="0"/>
    <s v="Shipped"/>
    <n v="1"/>
    <s v="INR"/>
    <n v="1112"/>
    <s v="HYDERABAD"/>
    <x v="6"/>
    <s v="IN"/>
    <x v="0"/>
    <x v="1"/>
  </r>
  <r>
    <s v="171-6336729-6763536"/>
    <d v="2022-04-30T00:00:00"/>
    <s v="Cancelled"/>
    <x v="0"/>
    <s v="Amazon"/>
    <s v="Amazon.in"/>
    <s v="Expedited"/>
    <x v="20"/>
    <x v="0"/>
    <x v="7"/>
    <s v="Unshipped"/>
    <n v="1"/>
    <s v="INR"/>
    <n v="626"/>
    <s v="BENGALURU"/>
    <x v="1"/>
    <s v="IN"/>
    <x v="0"/>
    <x v="1"/>
  </r>
  <r>
    <s v="404-3907920-5281963"/>
    <d v="2022-04-30T00:00:00"/>
    <s v="Shipped"/>
    <x v="1"/>
    <s v="Amazon"/>
    <s v="Amazon.in"/>
    <s v="Expedited"/>
    <x v="162"/>
    <x v="1"/>
    <x v="4"/>
    <s v="Shipped"/>
    <n v="1"/>
    <s v="INR"/>
    <n v="376"/>
    <s v="HYDERABAD"/>
    <x v="6"/>
    <s v="IN"/>
    <x v="0"/>
    <x v="1"/>
  </r>
  <r>
    <s v="408-7310428-6047538"/>
    <d v="2022-04-30T00:00:00"/>
    <s v="Shipped"/>
    <x v="1"/>
    <s v="Amazon"/>
    <s v="Amazon.in"/>
    <s v="Expedited"/>
    <x v="163"/>
    <x v="2"/>
    <x v="7"/>
    <s v="Shipped"/>
    <n v="1"/>
    <s v="INR"/>
    <n v="859"/>
    <s v="BENGALURU"/>
    <x v="1"/>
    <s v="IN"/>
    <x v="0"/>
    <x v="1"/>
  </r>
  <r>
    <s v="403-2608092-6065935"/>
    <d v="2022-04-30T00:00:00"/>
    <s v="Shipped"/>
    <x v="1"/>
    <s v="Amazon"/>
    <s v="Amazon.in"/>
    <s v="Expedited"/>
    <x v="164"/>
    <x v="0"/>
    <x v="3"/>
    <s v="Shipped"/>
    <n v="1"/>
    <s v="INR"/>
    <n v="597"/>
    <s v="MANGALURU"/>
    <x v="1"/>
    <s v="IN"/>
    <x v="0"/>
    <x v="1"/>
  </r>
  <r>
    <s v="404-9760385-9109154"/>
    <d v="2022-04-30T00:00:00"/>
    <s v="Shipped"/>
    <x v="1"/>
    <s v="Amazon"/>
    <s v="Amazon.in"/>
    <s v="Expedited"/>
    <x v="2"/>
    <x v="1"/>
    <x v="2"/>
    <s v="Shipped"/>
    <n v="1"/>
    <s v="INR"/>
    <n v="329"/>
    <s v="HYDERABAD"/>
    <x v="6"/>
    <s v="IN"/>
    <x v="0"/>
    <x v="1"/>
  </r>
  <r>
    <s v="405-0732969-3941948"/>
    <d v="2022-04-30T00:00:00"/>
    <s v="Shipped - Delivered to Buyer"/>
    <x v="1"/>
    <s v="Merchant"/>
    <s v="Amazon.in"/>
    <s v="Standard"/>
    <x v="165"/>
    <x v="0"/>
    <x v="2"/>
    <s v="Shipped"/>
    <n v="1"/>
    <s v="INR"/>
    <n v="583"/>
    <s v="NEW TOWN"/>
    <x v="17"/>
    <s v="IN"/>
    <x v="0"/>
    <x v="0"/>
  </r>
  <r>
    <s v="402-2720308-2560327"/>
    <d v="2022-04-30T00:00:00"/>
    <s v="Shipped"/>
    <x v="1"/>
    <s v="Amazon"/>
    <s v="Amazon.in"/>
    <s v="Expedited"/>
    <x v="166"/>
    <x v="2"/>
    <x v="3"/>
    <s v="Shipped"/>
    <n v="1"/>
    <s v="INR"/>
    <n v="665"/>
    <s v="MUMBAI"/>
    <x v="0"/>
    <s v="IN"/>
    <x v="0"/>
    <x v="1"/>
  </r>
  <r>
    <s v="402-0589123-6183541"/>
    <d v="2022-04-30T00:00:00"/>
    <s v="Shipped"/>
    <x v="1"/>
    <s v="Amazon"/>
    <s v="Amazon.in"/>
    <s v="Expedited"/>
    <x v="167"/>
    <x v="0"/>
    <x v="3"/>
    <s v="Shipped"/>
    <n v="1"/>
    <s v="INR"/>
    <n v="582"/>
    <s v="MUMBAI"/>
    <x v="0"/>
    <s v="IN"/>
    <x v="0"/>
    <x v="1"/>
  </r>
  <r>
    <s v="408-3874942-9917143"/>
    <d v="2022-04-30T00:00:00"/>
    <s v="Shipped"/>
    <x v="1"/>
    <s v="Amazon"/>
    <s v="Amazon.in"/>
    <s v="Expedited"/>
    <x v="168"/>
    <x v="0"/>
    <x v="2"/>
    <s v="Shipped"/>
    <n v="1"/>
    <s v="INR"/>
    <n v="1126"/>
    <s v="SAMBHAL"/>
    <x v="4"/>
    <s v="IN"/>
    <x v="0"/>
    <x v="1"/>
  </r>
  <r>
    <s v="402-1706149-0949104"/>
    <d v="2022-04-30T00:00:00"/>
    <s v="Shipped"/>
    <x v="1"/>
    <s v="Amazon"/>
    <s v="Amazon.in"/>
    <s v="Expedited"/>
    <x v="169"/>
    <x v="1"/>
    <x v="6"/>
    <s v="Shipped"/>
    <n v="1"/>
    <s v="INR"/>
    <n v="534"/>
    <s v="NAGPUR"/>
    <x v="0"/>
    <s v="IN"/>
    <x v="0"/>
    <x v="1"/>
  </r>
  <r>
    <s v="407-1672316-3245939"/>
    <d v="2022-04-30T00:00:00"/>
    <s v="Shipped"/>
    <x v="1"/>
    <s v="Amazon"/>
    <s v="Amazon.in"/>
    <s v="Expedited"/>
    <x v="170"/>
    <x v="1"/>
    <x v="4"/>
    <s v="Shipped"/>
    <n v="1"/>
    <s v="INR"/>
    <n v="319"/>
    <s v="ELAVANASURKOTTAI"/>
    <x v="3"/>
    <s v="IN"/>
    <x v="0"/>
    <x v="1"/>
  </r>
  <r>
    <s v="405-1832646-7988329"/>
    <d v="2022-04-30T00:00:00"/>
    <s v="Shipped"/>
    <x v="1"/>
    <s v="Amazon"/>
    <s v="Amazon.in"/>
    <s v="Expedited"/>
    <x v="171"/>
    <x v="1"/>
    <x v="0"/>
    <s v="Shipped"/>
    <n v="1"/>
    <s v="INR"/>
    <n v="368"/>
    <s v="SANGLI MIRAJ KUPWAD"/>
    <x v="0"/>
    <s v="IN"/>
    <x v="0"/>
    <x v="1"/>
  </r>
  <r>
    <s v="408-9692204-9817146"/>
    <d v="2022-04-30T00:00:00"/>
    <s v="Cancelled"/>
    <x v="0"/>
    <s v="Amazon"/>
    <s v="Amazon.in"/>
    <s v="Expedited"/>
    <x v="120"/>
    <x v="0"/>
    <x v="7"/>
    <s v="Unshipped"/>
    <n v="1"/>
    <s v="INR"/>
    <n v="597"/>
    <s v="KALYAN"/>
    <x v="0"/>
    <s v="IN"/>
    <x v="0"/>
    <x v="1"/>
  </r>
  <r>
    <s v="402-9339129-6219537"/>
    <d v="2022-04-30T00:00:00"/>
    <s v="Cancelled"/>
    <x v="0"/>
    <s v="Amazon"/>
    <s v="Amazon.in"/>
    <s v="Expedited"/>
    <x v="172"/>
    <x v="0"/>
    <x v="4"/>
    <s v="Unshipped"/>
    <n v="1"/>
    <s v="INR"/>
    <n v="654"/>
    <s v="MYSURU"/>
    <x v="1"/>
    <s v="IN"/>
    <x v="0"/>
    <x v="1"/>
  </r>
  <r>
    <s v="405-3036350-8089120"/>
    <d v="2022-04-30T00:00:00"/>
    <s v="Shipped"/>
    <x v="1"/>
    <s v="Amazon"/>
    <s v="Amazon.in"/>
    <s v="Expedited"/>
    <x v="173"/>
    <x v="1"/>
    <x v="7"/>
    <s v="Shipped"/>
    <n v="1"/>
    <s v="INR"/>
    <n v="795"/>
    <s v="ANKLESHWR"/>
    <x v="19"/>
    <s v="IN"/>
    <x v="0"/>
    <x v="1"/>
  </r>
  <r>
    <s v="404-6680046-0839536"/>
    <d v="2022-04-30T00:00:00"/>
    <s v="Shipped - Delivered to Buyer"/>
    <x v="1"/>
    <s v="Merchant"/>
    <s v="Amazon.in"/>
    <s v="Standard"/>
    <x v="174"/>
    <x v="2"/>
    <x v="7"/>
    <s v="Shipped"/>
    <n v="1"/>
    <s v="INR"/>
    <n v="744"/>
    <s v="Chennai"/>
    <x v="3"/>
    <s v="IN"/>
    <x v="0"/>
    <x v="0"/>
  </r>
  <r>
    <s v="406-2966654-4672325"/>
    <d v="2022-04-30T00:00:00"/>
    <s v="Shipped"/>
    <x v="1"/>
    <s v="Amazon"/>
    <s v="Amazon.in"/>
    <s v="Expedited"/>
    <x v="175"/>
    <x v="1"/>
    <x v="8"/>
    <s v="Shipped"/>
    <n v="1"/>
    <s v="INR"/>
    <n v="692"/>
    <s v="Greater Noida West"/>
    <x v="4"/>
    <s v="IN"/>
    <x v="0"/>
    <x v="1"/>
  </r>
  <r>
    <s v="403-4845285-4565113"/>
    <d v="2022-04-30T00:00:00"/>
    <s v="Shipped"/>
    <x v="1"/>
    <s v="Amazon"/>
    <s v="Amazon.in"/>
    <s v="Expedited"/>
    <x v="176"/>
    <x v="3"/>
    <x v="7"/>
    <s v="Shipped"/>
    <n v="1"/>
    <s v="INR"/>
    <n v="563"/>
    <s v="JAMMU"/>
    <x v="22"/>
    <s v="IN"/>
    <x v="0"/>
    <x v="1"/>
  </r>
  <r>
    <s v="171-4496851-5319548"/>
    <d v="2022-04-30T00:00:00"/>
    <s v="Shipped"/>
    <x v="1"/>
    <s v="Amazon"/>
    <s v="Amazon.in"/>
    <s v="Expedited"/>
    <x v="177"/>
    <x v="3"/>
    <x v="7"/>
    <s v="Shipped"/>
    <n v="1"/>
    <s v="INR"/>
    <n v="545"/>
    <s v="BENGALURU"/>
    <x v="1"/>
    <s v="IN"/>
    <x v="0"/>
    <x v="1"/>
  </r>
  <r>
    <s v="408-3416118-1167564"/>
    <d v="2022-04-30T00:00:00"/>
    <s v="Shipped"/>
    <x v="1"/>
    <s v="Amazon"/>
    <s v="Amazon.in"/>
    <s v="Expedited"/>
    <x v="178"/>
    <x v="0"/>
    <x v="3"/>
    <s v="Shipped"/>
    <n v="1"/>
    <s v="INR"/>
    <n v="999"/>
    <s v="ITANAGAR"/>
    <x v="25"/>
    <s v="IN"/>
    <x v="0"/>
    <x v="1"/>
  </r>
  <r>
    <s v="406-1590113-9193914"/>
    <d v="2022-04-30T00:00:00"/>
    <s v="Shipped"/>
    <x v="1"/>
    <s v="Amazon"/>
    <s v="Amazon.in"/>
    <s v="Expedited"/>
    <x v="49"/>
    <x v="0"/>
    <x v="7"/>
    <s v="Shipped"/>
    <n v="1"/>
    <s v="INR"/>
    <n v="654"/>
    <s v="KOLKATA"/>
    <x v="17"/>
    <s v="IN"/>
    <x v="0"/>
    <x v="1"/>
  </r>
  <r>
    <s v="404-0363929-8015528"/>
    <d v="2022-04-30T00:00:00"/>
    <s v="Shipped"/>
    <x v="1"/>
    <s v="Amazon"/>
    <s v="Amazon.in"/>
    <s v="Expedited"/>
    <x v="179"/>
    <x v="3"/>
    <x v="0"/>
    <s v="Shipped"/>
    <n v="1"/>
    <s v="INR"/>
    <n v="588"/>
    <s v="KARANJA"/>
    <x v="0"/>
    <s v="IN"/>
    <x v="0"/>
    <x v="1"/>
  </r>
  <r>
    <s v="407-7173744-5333154"/>
    <d v="2022-04-30T00:00:00"/>
    <s v="Shipped - Delivered to Buyer"/>
    <x v="1"/>
    <s v="Merchant"/>
    <s v="Amazon.in"/>
    <s v="Standard"/>
    <x v="180"/>
    <x v="1"/>
    <x v="0"/>
    <s v="Shipped"/>
    <n v="1"/>
    <s v="INR"/>
    <n v="497"/>
    <s v="NEW DELHI"/>
    <x v="9"/>
    <s v="IN"/>
    <x v="0"/>
    <x v="0"/>
  </r>
  <r>
    <s v="405-6880044-2861120"/>
    <d v="2022-04-30T00:00:00"/>
    <s v="Shipped"/>
    <x v="1"/>
    <s v="Amazon"/>
    <s v="Amazon.in"/>
    <s v="Expedited"/>
    <x v="19"/>
    <x v="1"/>
    <x v="1"/>
    <s v="Shipped"/>
    <n v="1"/>
    <s v="INR"/>
    <n v="517"/>
    <s v="NIMBAHERA"/>
    <x v="8"/>
    <s v="IN"/>
    <x v="0"/>
    <x v="1"/>
  </r>
  <r>
    <s v="171-1851948-5476361"/>
    <d v="2022-04-30T00:00:00"/>
    <s v="Shipped"/>
    <x v="1"/>
    <s v="Amazon"/>
    <s v="Amazon.in"/>
    <s v="Expedited"/>
    <x v="181"/>
    <x v="0"/>
    <x v="7"/>
    <s v="Shipped"/>
    <n v="1"/>
    <s v="INR"/>
    <n v="1115"/>
    <s v="Imphal East"/>
    <x v="26"/>
    <s v="IN"/>
    <x v="0"/>
    <x v="1"/>
  </r>
  <r>
    <s v="171-5810429-4493110"/>
    <d v="2022-04-30T00:00:00"/>
    <s v="Shipped"/>
    <x v="1"/>
    <s v="Amazon"/>
    <s v="Amazon.in"/>
    <s v="Standard"/>
    <x v="182"/>
    <x v="0"/>
    <x v="1"/>
    <s v="Shipped"/>
    <n v="1"/>
    <s v="INR"/>
    <n v="582"/>
    <s v="BIDHAN NAGAR"/>
    <x v="17"/>
    <s v="IN"/>
    <x v="0"/>
    <x v="1"/>
  </r>
  <r>
    <s v="171-1068229-1581965"/>
    <d v="2022-04-30T00:00:00"/>
    <s v="Shipped"/>
    <x v="1"/>
    <s v="Amazon"/>
    <s v="Amazon.in"/>
    <s v="Expedited"/>
    <x v="183"/>
    <x v="0"/>
    <x v="1"/>
    <s v="Shipped"/>
    <n v="1"/>
    <s v="INR"/>
    <n v="449"/>
    <s v="BIDHAN NAGAR"/>
    <x v="17"/>
    <s v="IN"/>
    <x v="0"/>
    <x v="1"/>
  </r>
  <r>
    <s v="402-2105140-3584364"/>
    <d v="2022-04-30T00:00:00"/>
    <s v="Shipped"/>
    <x v="1"/>
    <s v="Amazon"/>
    <s v="Amazon.in"/>
    <s v="Expedited"/>
    <x v="184"/>
    <x v="1"/>
    <x v="7"/>
    <s v="Shipped"/>
    <n v="1"/>
    <s v="INR"/>
    <n v="375"/>
    <s v="BENGALURU"/>
    <x v="1"/>
    <s v="IN"/>
    <x v="0"/>
    <x v="1"/>
  </r>
  <r>
    <s v="403-3561336-3563535"/>
    <d v="2022-04-30T00:00:00"/>
    <s v="Shipped"/>
    <x v="1"/>
    <s v="Amazon"/>
    <s v="Amazon.in"/>
    <s v="Expedited"/>
    <x v="185"/>
    <x v="0"/>
    <x v="7"/>
    <s v="Shipped"/>
    <n v="1"/>
    <s v="INR"/>
    <n v="771"/>
    <s v="AHMEDABAD"/>
    <x v="19"/>
    <s v="IN"/>
    <x v="0"/>
    <x v="1"/>
  </r>
  <r>
    <s v="402-9532672-5385917"/>
    <d v="2022-04-30T00:00:00"/>
    <s v="Shipped"/>
    <x v="1"/>
    <s v="Amazon"/>
    <s v="Amazon.in"/>
    <s v="Expedited"/>
    <x v="37"/>
    <x v="1"/>
    <x v="3"/>
    <s v="Shipped"/>
    <n v="1"/>
    <s v="INR"/>
    <n v="399"/>
    <s v="TIRUCHIRAPPALLI"/>
    <x v="3"/>
    <s v="IN"/>
    <x v="0"/>
    <x v="1"/>
  </r>
  <r>
    <s v="408-4547464-4180323"/>
    <d v="2022-04-30T00:00:00"/>
    <s v="Shipped - Delivered to Buyer"/>
    <x v="1"/>
    <s v="Merchant"/>
    <s v="Amazon.in"/>
    <s v="Standard"/>
    <x v="186"/>
    <x v="1"/>
    <x v="4"/>
    <s v="Shipped"/>
    <n v="1"/>
    <s v="INR"/>
    <n v="0"/>
    <s v="BHUBANESWAR"/>
    <x v="14"/>
    <s v="IN"/>
    <x v="0"/>
    <x v="0"/>
  </r>
  <r>
    <s v="402-2211107-5096323"/>
    <d v="2022-04-30T00:00:00"/>
    <s v="Shipped"/>
    <x v="1"/>
    <s v="Amazon"/>
    <s v="Amazon.in"/>
    <s v="Expedited"/>
    <x v="187"/>
    <x v="0"/>
    <x v="1"/>
    <s v="Shipped"/>
    <n v="1"/>
    <s v="INR"/>
    <n v="654"/>
    <s v="ALIGARH"/>
    <x v="4"/>
    <s v="IN"/>
    <x v="0"/>
    <x v="1"/>
  </r>
  <r>
    <s v="403-9412025-7537140"/>
    <d v="2022-04-30T00:00:00"/>
    <s v="Shipped"/>
    <x v="1"/>
    <s v="Amazon"/>
    <s v="Amazon.in"/>
    <s v="Expedited"/>
    <x v="188"/>
    <x v="1"/>
    <x v="0"/>
    <s v="Shipped"/>
    <n v="1"/>
    <s v="INR"/>
    <n v="424"/>
    <s v="KOCHI"/>
    <x v="15"/>
    <s v="IN"/>
    <x v="0"/>
    <x v="1"/>
  </r>
  <r>
    <s v="171-8452330-4756317"/>
    <d v="2022-04-30T00:00:00"/>
    <s v="Shipped"/>
    <x v="1"/>
    <s v="Amazon"/>
    <s v="Amazon.in"/>
    <s v="Expedited"/>
    <x v="189"/>
    <x v="3"/>
    <x v="5"/>
    <s v="Shipped"/>
    <n v="1"/>
    <s v="INR"/>
    <n v="432"/>
    <s v="PUNE"/>
    <x v="0"/>
    <s v="IN"/>
    <x v="0"/>
    <x v="1"/>
  </r>
  <r>
    <s v="171-4350114-4299568"/>
    <d v="2022-04-30T00:00:00"/>
    <s v="Shipped - Delivered to Buyer"/>
    <x v="1"/>
    <s v="Merchant"/>
    <s v="Amazon.in"/>
    <s v="Standard"/>
    <x v="190"/>
    <x v="3"/>
    <x v="5"/>
    <s v="Shipped"/>
    <n v="1"/>
    <s v="INR"/>
    <n v="399"/>
    <s v="PUNE"/>
    <x v="0"/>
    <s v="IN"/>
    <x v="0"/>
    <x v="0"/>
  </r>
  <r>
    <s v="405-8692900-3888310"/>
    <d v="2022-04-30T00:00:00"/>
    <s v="Shipped"/>
    <x v="1"/>
    <s v="Amazon"/>
    <s v="Amazon.in"/>
    <s v="Expedited"/>
    <x v="191"/>
    <x v="1"/>
    <x v="3"/>
    <s v="Shipped"/>
    <n v="1"/>
    <s v="INR"/>
    <n v="399"/>
    <s v="Bangalore"/>
    <x v="1"/>
    <s v="IN"/>
    <x v="0"/>
    <x v="1"/>
  </r>
  <r>
    <s v="402-6750101-3923558"/>
    <d v="2022-04-30T00:00:00"/>
    <s v="Shipped"/>
    <x v="1"/>
    <s v="Amazon"/>
    <s v="Amazon.in"/>
    <s v="Expedited"/>
    <x v="192"/>
    <x v="0"/>
    <x v="0"/>
    <s v="Shipped"/>
    <n v="1"/>
    <s v="INR"/>
    <n v="597"/>
    <s v="MALAPPURAM"/>
    <x v="15"/>
    <s v="IN"/>
    <x v="0"/>
    <x v="1"/>
  </r>
  <r>
    <s v="403-5725327-6264327"/>
    <d v="2022-04-30T00:00:00"/>
    <s v="Shipped"/>
    <x v="1"/>
    <s v="Amazon"/>
    <s v="Amazon.in"/>
    <s v="Expedited"/>
    <x v="193"/>
    <x v="3"/>
    <x v="7"/>
    <s v="Shipped"/>
    <n v="1"/>
    <s v="INR"/>
    <n v="463"/>
    <s v="NOIDA"/>
    <x v="4"/>
    <s v="IN"/>
    <x v="0"/>
    <x v="1"/>
  </r>
  <r>
    <s v="403-5209693-1173944"/>
    <d v="2022-04-30T00:00:00"/>
    <s v="Shipped"/>
    <x v="1"/>
    <s v="Amazon"/>
    <s v="Amazon.in"/>
    <s v="Expedited"/>
    <x v="194"/>
    <x v="1"/>
    <x v="2"/>
    <s v="Shipped"/>
    <n v="1"/>
    <s v="INR"/>
    <n v="484"/>
    <s v="GREATER NOIDA"/>
    <x v="4"/>
    <s v="IN"/>
    <x v="0"/>
    <x v="1"/>
  </r>
  <r>
    <s v="403-8255889-7526765"/>
    <d v="2022-04-30T00:00:00"/>
    <s v="Shipped"/>
    <x v="1"/>
    <s v="Amazon"/>
    <s v="Amazon.in"/>
    <s v="Expedited"/>
    <x v="195"/>
    <x v="1"/>
    <x v="0"/>
    <s v="Shipped"/>
    <n v="1"/>
    <s v="INR"/>
    <n v="635"/>
    <s v="PATNA"/>
    <x v="21"/>
    <s v="IN"/>
    <x v="0"/>
    <x v="1"/>
  </r>
  <r>
    <s v="407-3554912-7244363"/>
    <d v="2022-04-30T00:00:00"/>
    <s v="Shipped"/>
    <x v="1"/>
    <s v="Amazon"/>
    <s v="Amazon.in"/>
    <s v="Expedited"/>
    <x v="196"/>
    <x v="1"/>
    <x v="4"/>
    <s v="Shipped"/>
    <n v="1"/>
    <s v="INR"/>
    <n v="685"/>
    <s v="SIBSAGAR"/>
    <x v="11"/>
    <s v="IN"/>
    <x v="0"/>
    <x v="1"/>
  </r>
  <r>
    <s v="407-4737202-9096304"/>
    <d v="2022-04-30T00:00:00"/>
    <s v="Shipped - Delivered to Buyer"/>
    <x v="1"/>
    <s v="Merchant"/>
    <s v="Amazon.in"/>
    <s v="Standard"/>
    <x v="197"/>
    <x v="2"/>
    <x v="7"/>
    <s v="Shipped"/>
    <n v="1"/>
    <s v="INR"/>
    <n v="725"/>
    <s v="GAYA"/>
    <x v="21"/>
    <s v="IN"/>
    <x v="0"/>
    <x v="0"/>
  </r>
  <r>
    <s v="171-2842936-5423534"/>
    <d v="2022-04-30T00:00:00"/>
    <s v="Shipped"/>
    <x v="1"/>
    <s v="Amazon"/>
    <s v="Amazon.in"/>
    <s v="Expedited"/>
    <x v="198"/>
    <x v="3"/>
    <x v="2"/>
    <s v="Shipped"/>
    <n v="1"/>
    <s v="INR"/>
    <n v="487"/>
    <s v="BENGALURU"/>
    <x v="1"/>
    <s v="IN"/>
    <x v="0"/>
    <x v="1"/>
  </r>
  <r>
    <s v="407-4936046-5852304"/>
    <d v="2022-04-30T00:00:00"/>
    <s v="Cancelled"/>
    <x v="0"/>
    <s v="Merchant"/>
    <s v="Amazon.in"/>
    <s v="Standard"/>
    <x v="199"/>
    <x v="0"/>
    <x v="4"/>
    <m/>
    <n v="0"/>
    <s v="INR"/>
    <n v="1249.1099999999999"/>
    <s v="GURUGRAM"/>
    <x v="10"/>
    <s v="IN"/>
    <x v="0"/>
    <x v="0"/>
  </r>
  <r>
    <s v="407-4936046-5852304"/>
    <d v="2022-04-30T00:00:00"/>
    <s v="Cancelled"/>
    <x v="0"/>
    <s v="Merchant"/>
    <s v="Amazon.in"/>
    <s v="Standard"/>
    <x v="200"/>
    <x v="0"/>
    <x v="4"/>
    <m/>
    <n v="0"/>
    <s v="INR"/>
    <n v="1058.93"/>
    <s v="GURUGRAM"/>
    <x v="10"/>
    <s v="IN"/>
    <x v="0"/>
    <x v="0"/>
  </r>
  <r>
    <s v="402-9580874-3525948"/>
    <d v="2022-04-30T00:00:00"/>
    <s v="Shipped"/>
    <x v="1"/>
    <s v="Amazon"/>
    <s v="Amazon.in"/>
    <s v="Expedited"/>
    <x v="201"/>
    <x v="0"/>
    <x v="2"/>
    <s v="Shipped"/>
    <n v="1"/>
    <s v="INR"/>
    <n v="696"/>
    <s v="KOLLAM"/>
    <x v="15"/>
    <s v="IN"/>
    <x v="0"/>
    <x v="1"/>
  </r>
  <r>
    <s v="404-7426070-1355530"/>
    <d v="2022-04-30T00:00:00"/>
    <s v="Shipped"/>
    <x v="1"/>
    <s v="Amazon"/>
    <s v="Amazon.in"/>
    <s v="Expedited"/>
    <x v="202"/>
    <x v="1"/>
    <x v="7"/>
    <s v="Shipped"/>
    <n v="1"/>
    <s v="INR"/>
    <n v="329"/>
    <s v="HYDERABAD"/>
    <x v="6"/>
    <s v="IN"/>
    <x v="0"/>
    <x v="1"/>
  </r>
  <r>
    <s v="406-4878137-1126707"/>
    <d v="2022-04-30T00:00:00"/>
    <s v="Shipped"/>
    <x v="1"/>
    <s v="Amazon"/>
    <s v="Amazon.in"/>
    <s v="Expedited"/>
    <x v="150"/>
    <x v="1"/>
    <x v="0"/>
    <s v="Shipped"/>
    <n v="1"/>
    <s v="INR"/>
    <n v="517"/>
    <s v="PUNE"/>
    <x v="0"/>
    <s v="IN"/>
    <x v="0"/>
    <x v="1"/>
  </r>
  <r>
    <s v="171-3505516-3505949"/>
    <d v="2022-04-30T00:00:00"/>
    <s v="Shipped"/>
    <x v="1"/>
    <s v="Amazon"/>
    <s v="Amazon.in"/>
    <s v="Expedited"/>
    <x v="203"/>
    <x v="0"/>
    <x v="2"/>
    <s v="Shipped"/>
    <n v="1"/>
    <s v="INR"/>
    <n v="591"/>
    <s v="PUNE"/>
    <x v="0"/>
    <s v="IN"/>
    <x v="0"/>
    <x v="1"/>
  </r>
  <r>
    <s v="406-6199849-7523514"/>
    <d v="2022-04-30T00:00:00"/>
    <s v="Shipped"/>
    <x v="1"/>
    <s v="Amazon"/>
    <s v="Amazon.in"/>
    <s v="Expedited"/>
    <x v="1"/>
    <x v="1"/>
    <x v="1"/>
    <s v="Shipped"/>
    <n v="1"/>
    <s v="INR"/>
    <n v="406"/>
    <s v="PERALASSERI"/>
    <x v="15"/>
    <s v="IN"/>
    <x v="0"/>
    <x v="1"/>
  </r>
  <r>
    <s v="406-6180074-2350757"/>
    <d v="2022-04-30T00:00:00"/>
    <s v="Shipped"/>
    <x v="1"/>
    <s v="Amazon"/>
    <s v="Amazon.in"/>
    <s v="Expedited"/>
    <x v="204"/>
    <x v="0"/>
    <x v="2"/>
    <s v="Shipped"/>
    <n v="1"/>
    <s v="INR"/>
    <n v="684"/>
    <s v="BENGALURU"/>
    <x v="1"/>
    <s v="IN"/>
    <x v="0"/>
    <x v="1"/>
  </r>
  <r>
    <s v="406-6180074-2350757"/>
    <d v="2022-04-30T00:00:00"/>
    <s v="Shipped"/>
    <x v="1"/>
    <s v="Amazon"/>
    <s v="Amazon.in"/>
    <s v="Expedited"/>
    <x v="205"/>
    <x v="0"/>
    <x v="2"/>
    <s v="Shipped"/>
    <n v="1"/>
    <s v="INR"/>
    <n v="1115"/>
    <s v="BENGALURU"/>
    <x v="1"/>
    <s v="IN"/>
    <x v="0"/>
    <x v="1"/>
  </r>
  <r>
    <s v="406-2403215-8361103"/>
    <d v="2022-04-30T00:00:00"/>
    <s v="Shipped - Delivered to Buyer"/>
    <x v="1"/>
    <s v="Merchant"/>
    <s v="Amazon.in"/>
    <s v="Standard"/>
    <x v="206"/>
    <x v="0"/>
    <x v="3"/>
    <s v="Shipped"/>
    <n v="1"/>
    <s v="INR"/>
    <n v="999"/>
    <s v="BENGALURU"/>
    <x v="1"/>
    <s v="IN"/>
    <x v="0"/>
    <x v="0"/>
  </r>
  <r>
    <s v="404-6578109-5618751"/>
    <d v="2022-04-30T00:00:00"/>
    <s v="Shipped - Delivered to Buyer"/>
    <x v="1"/>
    <s v="Merchant"/>
    <s v="Amazon.in"/>
    <s v="Standard"/>
    <x v="207"/>
    <x v="1"/>
    <x v="7"/>
    <s v="Shipped"/>
    <n v="1"/>
    <s v="INR"/>
    <n v="295"/>
    <s v="BENGALURU"/>
    <x v="1"/>
    <s v="IN"/>
    <x v="0"/>
    <x v="0"/>
  </r>
  <r>
    <s v="407-2307966-4961113"/>
    <d v="2022-04-30T00:00:00"/>
    <s v="Shipped"/>
    <x v="1"/>
    <s v="Amazon"/>
    <s v="Amazon.in"/>
    <s v="Expedited"/>
    <x v="208"/>
    <x v="1"/>
    <x v="2"/>
    <s v="Shipped"/>
    <n v="1"/>
    <s v="INR"/>
    <n v="442"/>
    <s v="UDUPI"/>
    <x v="1"/>
    <s v="IN"/>
    <x v="0"/>
    <x v="1"/>
  </r>
  <r>
    <s v="404-5539778-0029904"/>
    <d v="2022-04-30T00:00:00"/>
    <s v="Shipped"/>
    <x v="1"/>
    <s v="Amazon"/>
    <s v="Amazon.in"/>
    <s v="Expedited"/>
    <x v="209"/>
    <x v="0"/>
    <x v="3"/>
    <s v="Shipped"/>
    <n v="1"/>
    <s v="INR"/>
    <n v="563"/>
    <s v="MARIANI"/>
    <x v="11"/>
    <s v="IN"/>
    <x v="0"/>
    <x v="1"/>
  </r>
  <r>
    <s v="171-6222676-0740318"/>
    <d v="2022-04-30T00:00:00"/>
    <s v="Shipped"/>
    <x v="1"/>
    <s v="Amazon"/>
    <s v="Amazon.in"/>
    <s v="Expedited"/>
    <x v="210"/>
    <x v="1"/>
    <x v="3"/>
    <s v="Shipped"/>
    <n v="1"/>
    <s v="INR"/>
    <n v="435"/>
    <s v="NEW DELHI"/>
    <x v="9"/>
    <s v="IN"/>
    <x v="0"/>
    <x v="1"/>
  </r>
  <r>
    <s v="403-2166075-2254703"/>
    <d v="2022-04-30T00:00:00"/>
    <s v="Shipped"/>
    <x v="1"/>
    <s v="Amazon"/>
    <s v="Amazon.in"/>
    <s v="Expedited"/>
    <x v="22"/>
    <x v="0"/>
    <x v="7"/>
    <s v="Shipped"/>
    <n v="1"/>
    <s v="INR"/>
    <n v="563"/>
    <s v="MANGALURU"/>
    <x v="1"/>
    <s v="IN"/>
    <x v="0"/>
    <x v="1"/>
  </r>
  <r>
    <s v="407-5766340-7411567"/>
    <d v="2022-04-30T00:00:00"/>
    <s v="Shipped"/>
    <x v="1"/>
    <s v="Amazon"/>
    <s v="Amazon.in"/>
    <s v="Expedited"/>
    <x v="211"/>
    <x v="1"/>
    <x v="5"/>
    <s v="Shipped"/>
    <n v="1"/>
    <s v="INR"/>
    <n v="399"/>
    <s v="AHMEDABAD"/>
    <x v="19"/>
    <s v="IN"/>
    <x v="1"/>
    <x v="1"/>
  </r>
  <r>
    <s v="408-2759943-9849959"/>
    <d v="2022-04-30T00:00:00"/>
    <s v="Shipped"/>
    <x v="1"/>
    <s v="Amazon"/>
    <s v="Amazon.in"/>
    <s v="Expedited"/>
    <x v="212"/>
    <x v="0"/>
    <x v="4"/>
    <s v="Shipped"/>
    <n v="1"/>
    <s v="INR"/>
    <n v="1338"/>
    <s v="KOLKATA"/>
    <x v="17"/>
    <s v="IN"/>
    <x v="0"/>
    <x v="1"/>
  </r>
  <r>
    <s v="403-5977671-8855508"/>
    <d v="2022-04-30T00:00:00"/>
    <s v="Shipped - Returned to Seller"/>
    <x v="1"/>
    <s v="Merchant"/>
    <s v="Amazon.in"/>
    <s v="Standard"/>
    <x v="117"/>
    <x v="0"/>
    <x v="5"/>
    <s v="Shipped"/>
    <n v="1"/>
    <s v="INR"/>
    <n v="1115"/>
    <s v="COOCH BEHAR"/>
    <x v="17"/>
    <s v="IN"/>
    <x v="0"/>
    <x v="0"/>
  </r>
  <r>
    <s v="408-9321153-0591557"/>
    <d v="2022-04-30T00:00:00"/>
    <s v="Shipped"/>
    <x v="1"/>
    <s v="Amazon"/>
    <s v="Amazon.in"/>
    <s v="Expedited"/>
    <x v="16"/>
    <x v="1"/>
    <x v="2"/>
    <s v="Shipped"/>
    <n v="1"/>
    <s v="INR"/>
    <n v="399"/>
    <s v="BENGALURU"/>
    <x v="1"/>
    <s v="IN"/>
    <x v="0"/>
    <x v="1"/>
  </r>
  <r>
    <s v="404-0696150-3898703"/>
    <d v="2022-04-30T00:00:00"/>
    <s v="Shipped - Delivered to Buyer"/>
    <x v="1"/>
    <s v="Merchant"/>
    <s v="Amazon.in"/>
    <s v="Standard"/>
    <x v="213"/>
    <x v="0"/>
    <x v="0"/>
    <s v="Shipped"/>
    <n v="1"/>
    <s v="INR"/>
    <n v="499"/>
    <s v="PUNE"/>
    <x v="0"/>
    <s v="IN"/>
    <x v="0"/>
    <x v="0"/>
  </r>
  <r>
    <s v="406-7586136-6520337"/>
    <d v="2022-04-30T00:00:00"/>
    <s v="Shipped - Delivered to Buyer"/>
    <x v="1"/>
    <s v="Merchant"/>
    <s v="Amazon.in"/>
    <s v="Standard"/>
    <x v="214"/>
    <x v="2"/>
    <x v="7"/>
    <s v="Shipped"/>
    <n v="1"/>
    <s v="INR"/>
    <n v="791"/>
    <s v="DEHRADUN"/>
    <x v="20"/>
    <s v="IN"/>
    <x v="0"/>
    <x v="0"/>
  </r>
  <r>
    <s v="407-6146457-8788352"/>
    <d v="2022-04-30T00:00:00"/>
    <s v="Shipped"/>
    <x v="1"/>
    <s v="Amazon"/>
    <s v="Amazon.in"/>
    <s v="Expedited"/>
    <x v="215"/>
    <x v="2"/>
    <x v="7"/>
    <s v="Shipped"/>
    <n v="1"/>
    <s v="INR"/>
    <n v="725"/>
    <s v="GAYA"/>
    <x v="21"/>
    <s v="IN"/>
    <x v="0"/>
    <x v="1"/>
  </r>
  <r>
    <s v="402-2703790-2816329"/>
    <d v="2022-04-30T00:00:00"/>
    <s v="Cancelled"/>
    <x v="0"/>
    <s v="Merchant"/>
    <s v="Amazon.in"/>
    <s v="Standard"/>
    <x v="216"/>
    <x v="0"/>
    <x v="7"/>
    <m/>
    <n v="0"/>
    <s v="INR"/>
    <n v="1278.57"/>
    <s v="JHARIA KHAS"/>
    <x v="12"/>
    <s v="IN"/>
    <x v="0"/>
    <x v="0"/>
  </r>
  <r>
    <s v="407-1515930-8661921"/>
    <d v="2022-04-30T00:00:00"/>
    <s v="Shipped"/>
    <x v="1"/>
    <s v="Amazon"/>
    <s v="Amazon.in"/>
    <s v="Expedited"/>
    <x v="217"/>
    <x v="0"/>
    <x v="2"/>
    <s v="Shipped"/>
    <n v="1"/>
    <s v="INR"/>
    <n v="1099"/>
    <s v="KOLKATA"/>
    <x v="17"/>
    <s v="IN"/>
    <x v="0"/>
    <x v="1"/>
  </r>
  <r>
    <s v="405-9144614-1601126"/>
    <d v="2022-04-30T00:00:00"/>
    <s v="Shipped - Delivered to Buyer"/>
    <x v="1"/>
    <s v="Merchant"/>
    <s v="Amazon.in"/>
    <s v="Standard"/>
    <x v="218"/>
    <x v="1"/>
    <x v="2"/>
    <s v="Shipped"/>
    <n v="1"/>
    <s v="INR"/>
    <n v="533"/>
    <s v="Secunderabad"/>
    <x v="6"/>
    <s v="IN"/>
    <x v="0"/>
    <x v="0"/>
  </r>
  <r>
    <s v="407-0994909-4122733"/>
    <d v="2022-04-30T00:00:00"/>
    <s v="Shipped"/>
    <x v="1"/>
    <s v="Amazon"/>
    <s v="Amazon.in"/>
    <s v="Expedited"/>
    <x v="219"/>
    <x v="1"/>
    <x v="9"/>
    <s v="Shipped"/>
    <n v="1"/>
    <s v="INR"/>
    <n v="696"/>
    <s v="UDAIPUR"/>
    <x v="8"/>
    <s v="IN"/>
    <x v="0"/>
    <x v="1"/>
  </r>
  <r>
    <s v="402-7042386-5486768"/>
    <d v="2022-04-30T00:00:00"/>
    <s v="Shipped"/>
    <x v="1"/>
    <s v="Amazon"/>
    <s v="Amazon.in"/>
    <s v="Expedited"/>
    <x v="220"/>
    <x v="1"/>
    <x v="7"/>
    <s v="Shipped"/>
    <n v="1"/>
    <s v="INR"/>
    <n v="363"/>
    <s v="COIMBATORE"/>
    <x v="3"/>
    <s v="IN"/>
    <x v="0"/>
    <x v="1"/>
  </r>
  <r>
    <s v="403-7652993-1507525"/>
    <d v="2022-04-30T00:00:00"/>
    <s v="Shipped"/>
    <x v="1"/>
    <s v="Amazon"/>
    <s v="Amazon.in"/>
    <s v="Expedited"/>
    <x v="221"/>
    <x v="0"/>
    <x v="3"/>
    <s v="Shipped"/>
    <n v="1"/>
    <s v="INR"/>
    <n v="631"/>
    <s v="BHUBANESWAR"/>
    <x v="14"/>
    <s v="IN"/>
    <x v="0"/>
    <x v="1"/>
  </r>
  <r>
    <s v="407-3847456-6656309"/>
    <d v="2022-04-30T00:00:00"/>
    <s v="Shipped"/>
    <x v="1"/>
    <s v="Amazon"/>
    <s v="Amazon.in"/>
    <s v="Expedited"/>
    <x v="222"/>
    <x v="0"/>
    <x v="1"/>
    <s v="Shipped"/>
    <n v="1"/>
    <s v="INR"/>
    <n v="1115"/>
    <s v="BHAGALPUR"/>
    <x v="21"/>
    <s v="IN"/>
    <x v="0"/>
    <x v="1"/>
  </r>
  <r>
    <s v="407-3847456-6656309"/>
    <d v="2022-04-30T00:00:00"/>
    <s v="Shipped"/>
    <x v="1"/>
    <s v="Amazon"/>
    <s v="Amazon.in"/>
    <s v="Expedited"/>
    <x v="223"/>
    <x v="0"/>
    <x v="1"/>
    <s v="Shipped"/>
    <n v="1"/>
    <s v="INR"/>
    <n v="968"/>
    <s v="BHAGALPUR"/>
    <x v="21"/>
    <s v="IN"/>
    <x v="0"/>
    <x v="1"/>
  </r>
  <r>
    <s v="171-7623384-8040337"/>
    <d v="2022-04-30T00:00:00"/>
    <s v="Shipped"/>
    <x v="1"/>
    <s v="Amazon"/>
    <s v="Amazon.in"/>
    <s v="Expedited"/>
    <x v="224"/>
    <x v="1"/>
    <x v="4"/>
    <s v="Shipped"/>
    <n v="1"/>
    <s v="INR"/>
    <n v="486"/>
    <s v="NAGPUR"/>
    <x v="0"/>
    <s v="IN"/>
    <x v="0"/>
    <x v="1"/>
  </r>
  <r>
    <s v="171-7623384-8040337"/>
    <d v="2022-04-30T00:00:00"/>
    <s v="Shipped"/>
    <x v="1"/>
    <s v="Amazon"/>
    <s v="Amazon.in"/>
    <s v="Expedited"/>
    <x v="225"/>
    <x v="0"/>
    <x v="4"/>
    <s v="Shipped"/>
    <n v="1"/>
    <s v="INR"/>
    <n v="597"/>
    <s v="NAGPUR"/>
    <x v="0"/>
    <s v="IN"/>
    <x v="0"/>
    <x v="1"/>
  </r>
  <r>
    <s v="171-4607096-6413920"/>
    <d v="2022-04-30T00:00:00"/>
    <s v="Shipped - Delivered to Buyer"/>
    <x v="1"/>
    <s v="Merchant"/>
    <s v="Amazon.in"/>
    <s v="Standard"/>
    <x v="226"/>
    <x v="0"/>
    <x v="1"/>
    <s v="Shipped"/>
    <n v="1"/>
    <s v="INR"/>
    <n v="563"/>
    <s v="NAGPUR"/>
    <x v="0"/>
    <s v="IN"/>
    <x v="0"/>
    <x v="0"/>
  </r>
  <r>
    <s v="404-6783988-2006729"/>
    <d v="2022-04-30T00:00:00"/>
    <s v="Shipped"/>
    <x v="1"/>
    <s v="Amazon"/>
    <s v="Amazon.in"/>
    <s v="Expedited"/>
    <x v="164"/>
    <x v="0"/>
    <x v="3"/>
    <s v="Shipped"/>
    <n v="1"/>
    <s v="INR"/>
    <n v="597"/>
    <s v="CHENNAI"/>
    <x v="3"/>
    <s v="IN"/>
    <x v="0"/>
    <x v="1"/>
  </r>
  <r>
    <s v="404-6975277-1927553"/>
    <d v="2022-04-30T00:00:00"/>
    <s v="Shipped - Delivered to Buyer"/>
    <x v="1"/>
    <s v="Merchant"/>
    <s v="Amazon.in"/>
    <s v="Standard"/>
    <x v="17"/>
    <x v="1"/>
    <x v="4"/>
    <s v="Shipped"/>
    <n v="1"/>
    <s v="INR"/>
    <n v="458"/>
    <s v="BERHAMPORE"/>
    <x v="17"/>
    <s v="IN"/>
    <x v="0"/>
    <x v="0"/>
  </r>
  <r>
    <s v="402-5586272-3646748"/>
    <d v="2022-04-30T00:00:00"/>
    <s v="Shipped"/>
    <x v="1"/>
    <s v="Amazon"/>
    <s v="Amazon.in"/>
    <s v="Expedited"/>
    <x v="227"/>
    <x v="0"/>
    <x v="0"/>
    <s v="Shipped"/>
    <n v="1"/>
    <s v="INR"/>
    <n v="1065"/>
    <s v="Dehradun"/>
    <x v="20"/>
    <s v="IN"/>
    <x v="0"/>
    <x v="1"/>
  </r>
  <r>
    <s v="171-6655820-6440356"/>
    <d v="2022-04-30T00:00:00"/>
    <s v="Shipped"/>
    <x v="1"/>
    <s v="Amazon"/>
    <s v="Amazon.in"/>
    <s v="Expedited"/>
    <x v="228"/>
    <x v="0"/>
    <x v="4"/>
    <s v="Shipped"/>
    <n v="2"/>
    <s v="INR"/>
    <n v="2130"/>
    <s v="MUMBAI"/>
    <x v="0"/>
    <s v="IN"/>
    <x v="0"/>
    <x v="1"/>
  </r>
  <r>
    <s v="171-1584788-8864335"/>
    <d v="2022-04-30T00:00:00"/>
    <s v="Shipped - Delivered to Buyer"/>
    <x v="1"/>
    <s v="Merchant"/>
    <s v="Amazon.in"/>
    <s v="Standard"/>
    <x v="229"/>
    <x v="0"/>
    <x v="4"/>
    <s v="Shipped"/>
    <n v="1"/>
    <s v="INR"/>
    <n v="1099"/>
    <s v="MUMBAI"/>
    <x v="0"/>
    <s v="IN"/>
    <x v="0"/>
    <x v="0"/>
  </r>
  <r>
    <s v="402-0150402-0900371"/>
    <d v="2022-04-30T00:00:00"/>
    <s v="Shipped"/>
    <x v="1"/>
    <s v="Amazon"/>
    <s v="Amazon.in"/>
    <s v="Expedited"/>
    <x v="230"/>
    <x v="2"/>
    <x v="0"/>
    <s v="Shipped"/>
    <n v="1"/>
    <s v="INR"/>
    <n v="721"/>
    <s v="SEONI"/>
    <x v="16"/>
    <s v="IN"/>
    <x v="0"/>
    <x v="1"/>
  </r>
  <r>
    <s v="408-6791822-5493964"/>
    <d v="2022-04-30T00:00:00"/>
    <s v="Shipped"/>
    <x v="1"/>
    <s v="Amazon"/>
    <s v="Amazon.in"/>
    <s v="Expedited"/>
    <x v="231"/>
    <x v="0"/>
    <x v="2"/>
    <s v="Shipped"/>
    <n v="1"/>
    <s v="INR"/>
    <n v="968"/>
    <s v="Agra"/>
    <x v="4"/>
    <s v="IN"/>
    <x v="0"/>
    <x v="1"/>
  </r>
  <r>
    <s v="405-0483874-0889137"/>
    <d v="2022-04-30T00:00:00"/>
    <s v="Shipped"/>
    <x v="1"/>
    <s v="Amazon"/>
    <s v="Amazon.in"/>
    <s v="Expedited"/>
    <x v="232"/>
    <x v="0"/>
    <x v="4"/>
    <s v="Shipped"/>
    <n v="1"/>
    <s v="INR"/>
    <n v="563"/>
    <s v="LUCKNOW"/>
    <x v="4"/>
    <s v="IN"/>
    <x v="0"/>
    <x v="1"/>
  </r>
  <r>
    <s v="407-5600921-2143569"/>
    <d v="2022-04-30T00:00:00"/>
    <s v="Cancelled"/>
    <x v="0"/>
    <s v="Merchant"/>
    <s v="Amazon.in"/>
    <s v="Standard"/>
    <x v="233"/>
    <x v="0"/>
    <x v="0"/>
    <m/>
    <n v="0"/>
    <s v="INR"/>
    <n v="995.54"/>
    <s v="BENGALURU"/>
    <x v="1"/>
    <s v="IN"/>
    <x v="0"/>
    <x v="0"/>
  </r>
  <r>
    <s v="407-5124083-2725136"/>
    <d v="2022-04-30T00:00:00"/>
    <s v="Shipped"/>
    <x v="1"/>
    <s v="Amazon"/>
    <s v="Amazon.in"/>
    <s v="Expedited"/>
    <x v="234"/>
    <x v="0"/>
    <x v="0"/>
    <s v="Shipped"/>
    <n v="1"/>
    <s v="INR"/>
    <n v="682"/>
    <s v="GHAZIABAD"/>
    <x v="4"/>
    <s v="IN"/>
    <x v="0"/>
    <x v="1"/>
  </r>
  <r>
    <s v="407-4766116-5412325"/>
    <d v="2022-04-30T00:00:00"/>
    <s v="Shipped"/>
    <x v="1"/>
    <s v="Amazon"/>
    <s v="Amazon.in"/>
    <s v="Expedited"/>
    <x v="16"/>
    <x v="1"/>
    <x v="2"/>
    <s v="Shipped"/>
    <n v="1"/>
    <s v="INR"/>
    <n v="399"/>
    <s v="Nermand"/>
    <x v="24"/>
    <s v="IN"/>
    <x v="0"/>
    <x v="1"/>
  </r>
  <r>
    <s v="402-6885004-6990731"/>
    <d v="2022-04-30T00:00:00"/>
    <s v="Shipped"/>
    <x v="1"/>
    <s v="Amazon"/>
    <s v="Amazon.in"/>
    <s v="Expedited"/>
    <x v="20"/>
    <x v="0"/>
    <x v="7"/>
    <s v="Shipped"/>
    <n v="1"/>
    <s v="INR"/>
    <n v="626"/>
    <s v="CHENNAI"/>
    <x v="3"/>
    <s v="IN"/>
    <x v="0"/>
    <x v="1"/>
  </r>
  <r>
    <s v="402-2207276-9869933"/>
    <d v="2022-04-30T00:00:00"/>
    <s v="Shipped"/>
    <x v="1"/>
    <s v="Amazon"/>
    <s v="Amazon.in"/>
    <s v="Expedited"/>
    <x v="235"/>
    <x v="0"/>
    <x v="7"/>
    <s v="Shipped"/>
    <n v="1"/>
    <s v="INR"/>
    <n v="1140"/>
    <s v="KAMAREDDY"/>
    <x v="6"/>
    <s v="IN"/>
    <x v="0"/>
    <x v="1"/>
  </r>
  <r>
    <s v="407-9494293-9423561"/>
    <d v="2022-04-30T00:00:00"/>
    <s v="Shipped"/>
    <x v="1"/>
    <s v="Amazon"/>
    <s v="Amazon.in"/>
    <s v="Expedited"/>
    <x v="236"/>
    <x v="1"/>
    <x v="7"/>
    <s v="Shipped"/>
    <n v="1"/>
    <s v="INR"/>
    <n v="486"/>
    <s v="SRINAGAR"/>
    <x v="22"/>
    <s v="IN"/>
    <x v="0"/>
    <x v="1"/>
  </r>
  <r>
    <s v="171-6867266-8495534"/>
    <d v="2022-04-30T00:00:00"/>
    <s v="Shipped"/>
    <x v="1"/>
    <s v="Amazon"/>
    <s v="Amazon.in"/>
    <s v="Expedited"/>
    <x v="237"/>
    <x v="0"/>
    <x v="5"/>
    <s v="Shipped"/>
    <n v="1"/>
    <s v="INR"/>
    <n v="597"/>
    <s v="BENGALURU"/>
    <x v="1"/>
    <s v="IN"/>
    <x v="0"/>
    <x v="1"/>
  </r>
  <r>
    <s v="408-3475592-6193128"/>
    <d v="2022-04-30T00:00:00"/>
    <s v="Shipped"/>
    <x v="1"/>
    <s v="Amazon"/>
    <s v="Amazon.in"/>
    <s v="Expedited"/>
    <x v="238"/>
    <x v="1"/>
    <x v="2"/>
    <s v="Shipped"/>
    <n v="1"/>
    <s v="INR"/>
    <n v="399"/>
    <s v="MUDDEBIHAL"/>
    <x v="1"/>
    <s v="IN"/>
    <x v="0"/>
    <x v="1"/>
  </r>
  <r>
    <s v="171-1987024-2709164"/>
    <d v="2022-04-30T00:00:00"/>
    <s v="Shipped"/>
    <x v="1"/>
    <s v="Amazon"/>
    <s v="Amazon.in"/>
    <s v="Expedited"/>
    <x v="239"/>
    <x v="0"/>
    <x v="7"/>
    <s v="Shipped"/>
    <n v="1"/>
    <s v="INR"/>
    <n v="660"/>
    <s v="SANTHAMAGULURU MANDAL"/>
    <x v="7"/>
    <s v="IN"/>
    <x v="0"/>
    <x v="1"/>
  </r>
  <r>
    <s v="406-1522425-5387565"/>
    <d v="2022-04-30T00:00:00"/>
    <s v="Shipped"/>
    <x v="1"/>
    <s v="Amazon"/>
    <s v="Amazon.in"/>
    <s v="Expedited"/>
    <x v="240"/>
    <x v="1"/>
    <x v="2"/>
    <s v="Shipped"/>
    <n v="1"/>
    <s v="INR"/>
    <n v="459"/>
    <s v="HYDERABAD"/>
    <x v="6"/>
    <s v="IN"/>
    <x v="0"/>
    <x v="1"/>
  </r>
  <r>
    <s v="171-3270734-5045130"/>
    <d v="2022-04-30T00:00:00"/>
    <s v="Shipped"/>
    <x v="1"/>
    <s v="Amazon"/>
    <s v="Amazon.in"/>
    <s v="Expedited"/>
    <x v="241"/>
    <x v="0"/>
    <x v="5"/>
    <s v="Shipped"/>
    <n v="1"/>
    <s v="INR"/>
    <n v="631"/>
    <s v="NEW DELHI"/>
    <x v="9"/>
    <s v="IN"/>
    <x v="0"/>
    <x v="1"/>
  </r>
  <r>
    <s v="408-4101226-7217932"/>
    <d v="2022-04-30T00:00:00"/>
    <s v="Shipped - Delivered to Buyer"/>
    <x v="1"/>
    <s v="Merchant"/>
    <s v="Amazon.in"/>
    <s v="Standard"/>
    <x v="242"/>
    <x v="1"/>
    <x v="7"/>
    <s v="Shipped"/>
    <n v="1"/>
    <s v="INR"/>
    <n v="459"/>
    <s v="LUCKNOW"/>
    <x v="4"/>
    <s v="IN"/>
    <x v="0"/>
    <x v="0"/>
  </r>
  <r>
    <s v="171-5719664-5449151"/>
    <d v="2022-04-30T00:00:00"/>
    <s v="Cancelled"/>
    <x v="0"/>
    <s v="Amazon"/>
    <s v="Amazon.in"/>
    <s v="Expedited"/>
    <x v="237"/>
    <x v="0"/>
    <x v="5"/>
    <s v="Unshipped"/>
    <n v="1"/>
    <s v="INR"/>
    <n v="597"/>
    <s v="BENGALURU"/>
    <x v="1"/>
    <s v="IN"/>
    <x v="0"/>
    <x v="1"/>
  </r>
  <r>
    <s v="403-9400764-4029123"/>
    <d v="2022-04-30T00:00:00"/>
    <s v="Shipped"/>
    <x v="1"/>
    <s v="Amazon"/>
    <s v="Amazon.in"/>
    <s v="Standard"/>
    <x v="92"/>
    <x v="0"/>
    <x v="0"/>
    <s v="Shipped"/>
    <n v="1"/>
    <s v="INR"/>
    <n v="852"/>
    <s v="BENGALURU"/>
    <x v="1"/>
    <s v="IN"/>
    <x v="0"/>
    <x v="1"/>
  </r>
  <r>
    <s v="406-8413944-2634744"/>
    <d v="2022-04-30T00:00:00"/>
    <s v="Shipped"/>
    <x v="1"/>
    <s v="Amazon"/>
    <s v="Amazon.in"/>
    <s v="Expedited"/>
    <x v="144"/>
    <x v="1"/>
    <x v="2"/>
    <s v="Shipped"/>
    <n v="1"/>
    <s v="INR"/>
    <n v="353"/>
    <s v="Hyderabad"/>
    <x v="6"/>
    <s v="IN"/>
    <x v="0"/>
    <x v="1"/>
  </r>
  <r>
    <s v="406-8271099-5133911"/>
    <d v="2022-04-30T00:00:00"/>
    <s v="Shipped"/>
    <x v="1"/>
    <s v="Amazon"/>
    <s v="Amazon.in"/>
    <s v="Expedited"/>
    <x v="243"/>
    <x v="1"/>
    <x v="3"/>
    <s v="Shipped"/>
    <n v="1"/>
    <s v="INR"/>
    <n v="345"/>
    <s v="BENGALURU"/>
    <x v="1"/>
    <s v="IN"/>
    <x v="0"/>
    <x v="1"/>
  </r>
  <r>
    <s v="406-8271099-5133911"/>
    <d v="2022-04-30T00:00:00"/>
    <s v="Shipped"/>
    <x v="1"/>
    <s v="Amazon"/>
    <s v="Amazon.in"/>
    <s v="Expedited"/>
    <x v="71"/>
    <x v="1"/>
    <x v="3"/>
    <s v="Shipped"/>
    <n v="1"/>
    <s v="INR"/>
    <n v="329"/>
    <s v="BENGALURU"/>
    <x v="1"/>
    <s v="IN"/>
    <x v="0"/>
    <x v="1"/>
  </r>
  <r>
    <s v="405-3441326-1516368"/>
    <d v="2022-04-30T00:00:00"/>
    <s v="Shipped"/>
    <x v="1"/>
    <s v="Amazon"/>
    <s v="Amazon.in"/>
    <s v="Expedited"/>
    <x v="244"/>
    <x v="3"/>
    <x v="1"/>
    <s v="Shipped"/>
    <n v="1"/>
    <s v="INR"/>
    <n v="518"/>
    <s v="KOLKATA 700034"/>
    <x v="17"/>
    <s v="IN"/>
    <x v="0"/>
    <x v="1"/>
  </r>
  <r>
    <s v="408-8009772-6580317"/>
    <d v="2022-04-30T00:00:00"/>
    <s v="Shipped"/>
    <x v="1"/>
    <s v="Amazon"/>
    <s v="Amazon.in"/>
    <s v="Expedited"/>
    <x v="245"/>
    <x v="3"/>
    <x v="5"/>
    <s v="Shipped"/>
    <n v="1"/>
    <s v="INR"/>
    <n v="387"/>
    <s v="kolkata"/>
    <x v="17"/>
    <s v="IN"/>
    <x v="0"/>
    <x v="1"/>
  </r>
  <r>
    <s v="402-4774686-7773937"/>
    <d v="2022-04-30T00:00:00"/>
    <s v="Shipped - Delivered to Buyer"/>
    <x v="1"/>
    <s v="Merchant"/>
    <s v="Amazon.in"/>
    <s v="Standard"/>
    <x v="246"/>
    <x v="3"/>
    <x v="2"/>
    <s v="Shipped"/>
    <n v="1"/>
    <s v="INR"/>
    <n v="339"/>
    <s v="HYDERABAD"/>
    <x v="6"/>
    <s v="IN"/>
    <x v="0"/>
    <x v="0"/>
  </r>
  <r>
    <s v="402-2860689-5652319"/>
    <d v="2022-04-30T00:00:00"/>
    <s v="Shipped"/>
    <x v="1"/>
    <s v="Amazon"/>
    <s v="Amazon.in"/>
    <s v="Expedited"/>
    <x v="247"/>
    <x v="2"/>
    <x v="3"/>
    <s v="Shipped"/>
    <n v="1"/>
    <s v="INR"/>
    <n v="744"/>
    <s v="SEONI"/>
    <x v="16"/>
    <s v="IN"/>
    <x v="0"/>
    <x v="1"/>
  </r>
  <r>
    <s v="406-6386989-1689108"/>
    <d v="2022-04-30T00:00:00"/>
    <s v="Shipped - Delivered to Buyer"/>
    <x v="1"/>
    <s v="Merchant"/>
    <s v="Amazon.in"/>
    <s v="Standard"/>
    <x v="248"/>
    <x v="0"/>
    <x v="2"/>
    <s v="Shipped"/>
    <n v="1"/>
    <s v="INR"/>
    <n v="888"/>
    <s v="BARUIPUR"/>
    <x v="17"/>
    <s v="IN"/>
    <x v="0"/>
    <x v="0"/>
  </r>
  <r>
    <s v="408-9720884-9553122"/>
    <d v="2022-04-30T00:00:00"/>
    <s v="Shipped"/>
    <x v="1"/>
    <s v="Amazon"/>
    <s v="Amazon.in"/>
    <s v="Expedited"/>
    <x v="249"/>
    <x v="1"/>
    <x v="1"/>
    <s v="Shipped"/>
    <n v="1"/>
    <s v="INR"/>
    <n v="487"/>
    <s v="KENDRAPARA"/>
    <x v="14"/>
    <s v="IN"/>
    <x v="0"/>
    <x v="1"/>
  </r>
  <r>
    <s v="408-8641795-6914711"/>
    <d v="2022-04-30T00:00:00"/>
    <s v="Shipped"/>
    <x v="1"/>
    <s v="Amazon"/>
    <s v="Amazon.in"/>
    <s v="Expedited"/>
    <x v="250"/>
    <x v="3"/>
    <x v="5"/>
    <s v="Shipped"/>
    <n v="1"/>
    <s v="INR"/>
    <n v="563"/>
    <s v="GURUGRAM"/>
    <x v="10"/>
    <s v="IN"/>
    <x v="0"/>
    <x v="1"/>
  </r>
  <r>
    <s v="402-9475978-1434754"/>
    <d v="2022-04-30T00:00:00"/>
    <s v="Shipped"/>
    <x v="1"/>
    <s v="Amazon"/>
    <s v="Amazon.in"/>
    <s v="Expedited"/>
    <x v="251"/>
    <x v="2"/>
    <x v="0"/>
    <s v="Shipped"/>
    <n v="1"/>
    <s v="INR"/>
    <n v="859"/>
    <s v="VIJAYAWADA"/>
    <x v="7"/>
    <s v="IN"/>
    <x v="0"/>
    <x v="1"/>
  </r>
  <r>
    <s v="407-5776821-9327552"/>
    <d v="2022-04-30T00:00:00"/>
    <s v="Shipped"/>
    <x v="1"/>
    <s v="Amazon"/>
    <s v="Amazon.in"/>
    <s v="Expedited"/>
    <x v="252"/>
    <x v="0"/>
    <x v="3"/>
    <s v="Shipped"/>
    <n v="1"/>
    <s v="INR"/>
    <n v="1133"/>
    <s v="MUMBAI"/>
    <x v="0"/>
    <s v="IN"/>
    <x v="0"/>
    <x v="1"/>
  </r>
  <r>
    <s v="171-6845071-0336346"/>
    <d v="2022-04-30T00:00:00"/>
    <s v="Shipped"/>
    <x v="1"/>
    <s v="Amazon"/>
    <s v="Amazon.in"/>
    <s v="Expedited"/>
    <x v="253"/>
    <x v="0"/>
    <x v="5"/>
    <s v="Shipped"/>
    <n v="1"/>
    <s v="INR"/>
    <n v="788"/>
    <s v="NASHIK"/>
    <x v="0"/>
    <s v="IN"/>
    <x v="0"/>
    <x v="1"/>
  </r>
  <r>
    <s v="404-7491342-1035558"/>
    <d v="2022-04-30T00:00:00"/>
    <s v="Shipped"/>
    <x v="1"/>
    <s v="Amazon"/>
    <s v="Amazon.in"/>
    <s v="Expedited"/>
    <x v="254"/>
    <x v="0"/>
    <x v="0"/>
    <s v="Shipped"/>
    <n v="1"/>
    <s v="INR"/>
    <n v="1463"/>
    <s v="THANE"/>
    <x v="0"/>
    <s v="IN"/>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FA060-F296-4EFF-BFF5-BAF0545345BD}"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5:C12" firstHeaderRow="1" firstDataRow="1" firstDataCol="1"/>
  <pivotFields count="19">
    <pivotField showAll="0"/>
    <pivotField numFmtId="14" showAll="0"/>
    <pivotField showAll="0"/>
    <pivotField showAll="0">
      <items count="3">
        <item x="0"/>
        <item x="1"/>
        <item t="default"/>
      </items>
    </pivotField>
    <pivotField showAll="0"/>
    <pivotField showAll="0"/>
    <pivotField showAll="0"/>
    <pivotField showAll="0"/>
    <pivotField axis="axisRow" showAll="0" sortType="descending">
      <items count="7">
        <item x="5"/>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28">
        <item x="7"/>
        <item x="25"/>
        <item x="11"/>
        <item x="21"/>
        <item x="5"/>
        <item x="13"/>
        <item x="9"/>
        <item x="19"/>
        <item x="10"/>
        <item x="24"/>
        <item x="22"/>
        <item x="12"/>
        <item x="1"/>
        <item x="15"/>
        <item x="16"/>
        <item x="0"/>
        <item x="26"/>
        <item x="18"/>
        <item x="14"/>
        <item x="2"/>
        <item x="23"/>
        <item x="8"/>
        <item x="3"/>
        <item x="6"/>
        <item x="4"/>
        <item x="20"/>
        <item x="17"/>
        <item t="default"/>
      </items>
    </pivotField>
    <pivotField showAll="0"/>
    <pivotField showAll="0">
      <items count="3">
        <item x="0"/>
        <item x="1"/>
        <item t="default"/>
      </items>
    </pivotField>
    <pivotField showAll="0">
      <items count="3">
        <item x="0"/>
        <item x="1"/>
        <item t="default"/>
      </items>
    </pivotField>
  </pivotFields>
  <rowFields count="1">
    <field x="8"/>
  </rowFields>
  <rowItems count="7">
    <i>
      <x v="3"/>
    </i>
    <i>
      <x v="2"/>
    </i>
    <i>
      <x v="5"/>
    </i>
    <i>
      <x v="4"/>
    </i>
    <i>
      <x v="1"/>
    </i>
    <i>
      <x/>
    </i>
    <i t="grand">
      <x/>
    </i>
  </rowItems>
  <colItems count="1">
    <i/>
  </colItems>
  <dataFields count="1">
    <dataField name="Sum of Amount" fld="13"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B767D6-C11C-4E31-9ADA-A5B629165396}"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6:C9" firstHeaderRow="1" firstDataRow="1" firstDataCol="1"/>
  <pivotFields count="19">
    <pivotField dataField="1" showAll="0"/>
    <pivotField numFmtId="14"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 count="1" selected="0">
            <x v="0"/>
          </reference>
        </references>
      </pivotArea>
    </chartFormat>
    <chartFormat chart="1" format="5">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9AFCC8-E7A6-4663-B77F-D7C072ED709D}"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13"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measureFilter="1" sortType="descending">
      <items count="28">
        <item x="7"/>
        <item x="25"/>
        <item x="11"/>
        <item x="21"/>
        <item x="5"/>
        <item x="13"/>
        <item x="9"/>
        <item x="19"/>
        <item x="10"/>
        <item x="24"/>
        <item x="22"/>
        <item x="12"/>
        <item x="1"/>
        <item x="15"/>
        <item x="16"/>
        <item x="0"/>
        <item x="26"/>
        <item x="18"/>
        <item x="14"/>
        <item x="2"/>
        <item x="23"/>
        <item x="8"/>
        <item x="3"/>
        <item x="6"/>
        <item x="4"/>
        <item x="20"/>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5"/>
  </rowFields>
  <rowItems count="11">
    <i>
      <x v="12"/>
    </i>
    <i>
      <x v="15"/>
    </i>
    <i>
      <x v="24"/>
    </i>
    <i>
      <x v="23"/>
    </i>
    <i>
      <x v="26"/>
    </i>
    <i>
      <x v="22"/>
    </i>
    <i>
      <x v="7"/>
    </i>
    <i>
      <x v="8"/>
    </i>
    <i>
      <x v="6"/>
    </i>
    <i>
      <x v="3"/>
    </i>
    <i t="grand">
      <x/>
    </i>
  </rowItems>
  <colItems count="1">
    <i/>
  </colItems>
  <dataFields count="1">
    <dataField name="Sum of Amount" fld="13"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61FD03-26E7-4D4E-B19B-3FB6B704E117}"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C5" firstHeaderRow="1" firstDataRow="1" firstDataCol="1"/>
  <pivotFields count="1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s>
  <rowFields count="1">
    <field x="18"/>
  </rowFields>
  <rowItems count="3">
    <i>
      <x v="1"/>
    </i>
    <i>
      <x/>
    </i>
    <i t="grand">
      <x/>
    </i>
  </rowItems>
  <colItems count="1">
    <i/>
  </colItems>
  <dataFields count="1">
    <dataField name="Sum of Amount" fld="13"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C07718-250F-4DED-A3A1-7C962CCF8C41}"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C14" firstHeaderRow="1" firstDataRow="1" firstDataCol="1"/>
  <pivotFields count="19">
    <pivotField showAll="0"/>
    <pivotField numFmtId="14" showAll="0"/>
    <pivotField showAll="0"/>
    <pivotField showAll="0"/>
    <pivotField showAll="0"/>
    <pivotField showAll="0"/>
    <pivotField showAll="0"/>
    <pivotField showAll="0"/>
    <pivotField showAll="0"/>
    <pivotField axis="axisRow" showAll="0" sortType="descending">
      <items count="11">
        <item x="1"/>
        <item x="8"/>
        <item x="9"/>
        <item x="6"/>
        <item x="3"/>
        <item x="7"/>
        <item x="0"/>
        <item x="2"/>
        <item x="5"/>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s>
  <rowFields count="1">
    <field x="9"/>
  </rowFields>
  <rowItems count="11">
    <i>
      <x v="5"/>
    </i>
    <i>
      <x v="6"/>
    </i>
    <i>
      <x v="7"/>
    </i>
    <i>
      <x v="9"/>
    </i>
    <i>
      <x v="4"/>
    </i>
    <i>
      <x/>
    </i>
    <i>
      <x v="8"/>
    </i>
    <i>
      <x v="3"/>
    </i>
    <i>
      <x v="1"/>
    </i>
    <i>
      <x v="2"/>
    </i>
    <i t="grand">
      <x/>
    </i>
  </rowItems>
  <colItems count="1">
    <i/>
  </colItems>
  <dataFields count="1">
    <dataField name="Sum of Qty" fld="11"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43BDDB-5D34-4FE6-AC91-E5C9A0F027C0}"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C16" firstHeaderRow="1" firstDataRow="1" firstDataCol="1"/>
  <pivotFields count="19">
    <pivotField showAll="0"/>
    <pivotField numFmtId="14" showAll="0"/>
    <pivotField showAll="0"/>
    <pivotField showAll="0"/>
    <pivotField showAll="0"/>
    <pivotField showAll="0"/>
    <pivotField showAll="0"/>
    <pivotField axis="axisRow" showAll="0" measureFilter="1" sortType="descending">
      <items count="256">
        <item x="80"/>
        <item x="222"/>
        <item x="90"/>
        <item x="49"/>
        <item x="172"/>
        <item x="187"/>
        <item x="148"/>
        <item x="252"/>
        <item x="227"/>
        <item x="228"/>
        <item x="133"/>
        <item x="30"/>
        <item x="235"/>
        <item x="229"/>
        <item x="239"/>
        <item x="6"/>
        <item x="131"/>
        <item x="153"/>
        <item x="244"/>
        <item x="165"/>
        <item x="48"/>
        <item x="179"/>
        <item x="230"/>
        <item x="38"/>
        <item x="44"/>
        <item x="161"/>
        <item x="134"/>
        <item x="254"/>
        <item x="216"/>
        <item x="95"/>
        <item x="163"/>
        <item x="83"/>
        <item x="52"/>
        <item x="193"/>
        <item x="166"/>
        <item x="173"/>
        <item x="85"/>
        <item x="160"/>
        <item x="251"/>
        <item x="107"/>
        <item x="108"/>
        <item x="247"/>
        <item x="176"/>
        <item x="250"/>
        <item x="3"/>
        <item x="174"/>
        <item x="28"/>
        <item x="82"/>
        <item x="81"/>
        <item x="159"/>
        <item x="152"/>
        <item x="213"/>
        <item x="13"/>
        <item x="195"/>
        <item x="151"/>
        <item x="178"/>
        <item x="65"/>
        <item x="214"/>
        <item x="39"/>
        <item x="162"/>
        <item x="51"/>
        <item x="109"/>
        <item x="155"/>
        <item x="144"/>
        <item x="56"/>
        <item x="40"/>
        <item x="188"/>
        <item x="58"/>
        <item x="124"/>
        <item x="66"/>
        <item x="9"/>
        <item x="196"/>
        <item x="125"/>
        <item x="111"/>
        <item x="208"/>
        <item x="122"/>
        <item x="101"/>
        <item x="202"/>
        <item x="2"/>
        <item x="21"/>
        <item x="32"/>
        <item x="136"/>
        <item x="207"/>
        <item x="93"/>
        <item x="249"/>
        <item x="210"/>
        <item x="37"/>
        <item x="47"/>
        <item x="7"/>
        <item x="16"/>
        <item x="11"/>
        <item x="72"/>
        <item x="25"/>
        <item x="129"/>
        <item x="149"/>
        <item x="97"/>
        <item x="191"/>
        <item x="211"/>
        <item x="123"/>
        <item x="170"/>
        <item x="180"/>
        <item x="220"/>
        <item x="128"/>
        <item x="8"/>
        <item x="236"/>
        <item x="150"/>
        <item x="224"/>
        <item x="70"/>
        <item x="10"/>
        <item x="46"/>
        <item x="36"/>
        <item x="84"/>
        <item x="135"/>
        <item x="27"/>
        <item x="238"/>
        <item x="186"/>
        <item x="59"/>
        <item x="240"/>
        <item x="145"/>
        <item x="184"/>
        <item x="116"/>
        <item x="243"/>
        <item x="63"/>
        <item x="189"/>
        <item x="100"/>
        <item x="246"/>
        <item x="158"/>
        <item x="110"/>
        <item x="245"/>
        <item x="190"/>
        <item x="4"/>
        <item x="177"/>
        <item x="198"/>
        <item x="17"/>
        <item x="130"/>
        <item x="67"/>
        <item x="104"/>
        <item x="91"/>
        <item x="71"/>
        <item x="15"/>
        <item x="45"/>
        <item x="69"/>
        <item x="31"/>
        <item x="1"/>
        <item x="171"/>
        <item x="35"/>
        <item x="121"/>
        <item x="19"/>
        <item x="140"/>
        <item x="215"/>
        <item x="197"/>
        <item x="87"/>
        <item x="242"/>
        <item x="127"/>
        <item x="74"/>
        <item x="106"/>
        <item x="53"/>
        <item x="141"/>
        <item x="33"/>
        <item x="23"/>
        <item x="78"/>
        <item x="194"/>
        <item x="156"/>
        <item x="29"/>
        <item x="89"/>
        <item x="218"/>
        <item x="118"/>
        <item x="232"/>
        <item x="57"/>
        <item x="143"/>
        <item x="167"/>
        <item x="24"/>
        <item x="138"/>
        <item x="182"/>
        <item x="183"/>
        <item x="219"/>
        <item x="146"/>
        <item x="26"/>
        <item x="175"/>
        <item x="14"/>
        <item x="169"/>
        <item x="234"/>
        <item x="88"/>
        <item x="126"/>
        <item x="119"/>
        <item x="203"/>
        <item x="204"/>
        <item x="96"/>
        <item x="12"/>
        <item x="43"/>
        <item x="226"/>
        <item x="154"/>
        <item x="64"/>
        <item x="18"/>
        <item x="61"/>
        <item x="5"/>
        <item x="103"/>
        <item x="42"/>
        <item x="253"/>
        <item x="94"/>
        <item x="55"/>
        <item x="115"/>
        <item x="50"/>
        <item x="75"/>
        <item x="185"/>
        <item x="209"/>
        <item x="22"/>
        <item x="98"/>
        <item x="99"/>
        <item x="73"/>
        <item x="206"/>
        <item x="248"/>
        <item x="233"/>
        <item x="117"/>
        <item x="200"/>
        <item x="217"/>
        <item x="164"/>
        <item x="120"/>
        <item x="112"/>
        <item x="54"/>
        <item x="225"/>
        <item x="114"/>
        <item x="192"/>
        <item x="102"/>
        <item x="113"/>
        <item x="62"/>
        <item x="231"/>
        <item x="223"/>
        <item x="34"/>
        <item x="20"/>
        <item x="142"/>
        <item x="157"/>
        <item x="92"/>
        <item x="60"/>
        <item x="132"/>
        <item x="199"/>
        <item x="41"/>
        <item x="168"/>
        <item x="139"/>
        <item x="212"/>
        <item x="237"/>
        <item x="201"/>
        <item x="79"/>
        <item x="221"/>
        <item x="241"/>
        <item x="68"/>
        <item x="86"/>
        <item x="0"/>
        <item x="76"/>
        <item x="105"/>
        <item x="205"/>
        <item x="77"/>
        <item x="137"/>
        <item x="181"/>
        <item x="1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12">
    <i>
      <x v="197"/>
    </i>
    <i>
      <x v="213"/>
    </i>
    <i>
      <x v="9"/>
    </i>
    <i>
      <x v="229"/>
    </i>
    <i>
      <x v="217"/>
    </i>
    <i>
      <x v="232"/>
    </i>
    <i>
      <x v="206"/>
    </i>
    <i>
      <x v="27"/>
    </i>
    <i>
      <x v="234"/>
    </i>
    <i>
      <x v="239"/>
    </i>
    <i>
      <x v="199"/>
    </i>
    <i t="grand">
      <x/>
    </i>
  </rowItems>
  <colItems count="1">
    <i/>
  </colItems>
  <dataFields count="1">
    <dataField name="Sum of Amount" fld="13"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3D5F2C-4894-499C-9992-2DF60E37A13C}"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C7" firstHeaderRow="1" firstDataRow="1" firstDataCol="1"/>
  <pivotFields count="19">
    <pivotField dataField="1" showAll="0"/>
    <pivotField numFmtId="14" showAll="0"/>
    <pivotField showAll="0"/>
    <pivotField showAll="0">
      <items count="3">
        <item x="0"/>
        <item h="1" x="1"/>
        <item t="default"/>
      </items>
    </pivotField>
    <pivotField showAll="0"/>
    <pivotField showAll="0"/>
    <pivotField showAll="0"/>
    <pivotField showAll="0"/>
    <pivotField showAll="0">
      <items count="7">
        <item h="1" x="5"/>
        <item h="1" x="4"/>
        <item h="1" x="1"/>
        <item h="1" x="0"/>
        <item x="3"/>
        <item h="1" x="2"/>
        <item t="default"/>
      </items>
    </pivotField>
    <pivotField showAll="0"/>
    <pivotField showAll="0"/>
    <pivotField showAll="0"/>
    <pivotField showAll="0"/>
    <pivotField showAll="0"/>
    <pivotField showAll="0"/>
    <pivotField showAll="0">
      <items count="28">
        <item h="1" x="7"/>
        <item h="1" x="25"/>
        <item h="1" x="11"/>
        <item h="1" x="21"/>
        <item h="1" x="5"/>
        <item h="1" x="13"/>
        <item h="1" x="9"/>
        <item x="19"/>
        <item h="1" x="10"/>
        <item h="1" x="24"/>
        <item h="1" x="22"/>
        <item h="1" x="12"/>
        <item h="1" x="1"/>
        <item h="1" x="15"/>
        <item h="1" x="16"/>
        <item h="1" x="0"/>
        <item h="1" x="26"/>
        <item h="1" x="18"/>
        <item h="1" x="14"/>
        <item h="1" x="2"/>
        <item h="1" x="23"/>
        <item h="1" x="8"/>
        <item h="1" x="3"/>
        <item h="1" x="6"/>
        <item h="1" x="4"/>
        <item h="1" x="20"/>
        <item h="1" x="17"/>
        <item t="default"/>
      </items>
    </pivotField>
    <pivotField showAll="0"/>
    <pivotField axis="axisRow" showAll="0" sortType="descending">
      <items count="3">
        <item n="Consumer orders" x="0"/>
        <item n="Business orders"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s>
  <rowFields count="1">
    <field x="17"/>
  </rowFields>
  <rowItems count="3">
    <i>
      <x/>
    </i>
    <i>
      <x v="1"/>
    </i>
    <i t="grand">
      <x/>
    </i>
  </rowItems>
  <colItems count="1">
    <i/>
  </colItems>
  <dataFields count="1">
    <dataField name="Count of Order ID" fld="0"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7" count="1" selected="0">
            <x v="0"/>
          </reference>
        </references>
      </pivotArea>
    </chartFormat>
    <chartFormat chart="1" format="5">
      <pivotArea type="data" outline="0" fieldPosition="0">
        <references count="2">
          <reference field="4294967294" count="1" selected="0">
            <x v="0"/>
          </reference>
          <reference field="17"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7" count="1" selected="0">
            <x v="0"/>
          </reference>
        </references>
      </pivotArea>
    </chartFormat>
    <chartFormat chart="2" format="8">
      <pivotArea type="data" outline="0" fieldPosition="0">
        <references count="2">
          <reference field="4294967294" count="1" selected="0">
            <x v="0"/>
          </reference>
          <reference field="17"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17" count="1" selected="0">
            <x v="0"/>
          </reference>
        </references>
      </pivotArea>
    </chartFormat>
    <chartFormat chart="7" format="5">
      <pivotArea type="data" outline="0" fieldPosition="0">
        <references count="2">
          <reference field="4294967294" count="1" selected="0">
            <x v="0"/>
          </reference>
          <reference field="17"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7" count="1" selected="0">
            <x v="0"/>
          </reference>
        </references>
      </pivotArea>
    </chartFormat>
    <chartFormat chart="8"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50AC8D0-2369-4FE6-B0E5-7AF02D4493AD}" sourceName="Order status">
  <pivotTables>
    <pivotTable tabId="3" name="PivotTable1"/>
  </pivotTables>
  <data>
    <tabular pivotCacheId="15414382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B24D39-13FE-4FBD-A39B-727863427F7E}" sourceName="Category">
  <pivotTables>
    <pivotTable tabId="3" name="PivotTable1"/>
  </pivotTables>
  <data>
    <tabular pivotCacheId="1541438234">
      <items count="6">
        <i x="5" s="1"/>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 xr10:uid="{20D2BE84-696C-4076-AA9C-460C6F8B993E}" sourceName="ship-state">
  <pivotTables>
    <pivotTable tabId="3" name="PivotTable1"/>
  </pivotTables>
  <data>
    <tabular pivotCacheId="1541438234">
      <items count="27">
        <i x="7" s="1"/>
        <i x="25" s="1"/>
        <i x="11" s="1"/>
        <i x="21" s="1"/>
        <i x="5" s="1"/>
        <i x="13" s="1"/>
        <i x="9" s="1"/>
        <i x="19" s="1"/>
        <i x="10" s="1"/>
        <i x="24" s="1"/>
        <i x="22" s="1"/>
        <i x="12" s="1"/>
        <i x="1" s="1"/>
        <i x="15" s="1"/>
        <i x="16" s="1"/>
        <i x="0" s="1"/>
        <i x="26" s="1"/>
        <i x="18" s="1"/>
        <i x="14" s="1"/>
        <i x="2" s="1"/>
        <i x="23" s="1"/>
        <i x="8" s="1"/>
        <i x="3" s="1"/>
        <i x="6" s="1"/>
        <i x="4" s="1"/>
        <i x="20"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2B" xr10:uid="{C3F65285-D002-4C02-9255-CCF2D4CFC49E}" sourceName="B2B">
  <pivotTables>
    <pivotTable tabId="3" name="PivotTable1"/>
  </pivotTables>
  <data>
    <tabular pivotCacheId="154143823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filled_by" xr10:uid="{C71BAB4D-058D-4F44-BC92-56056C920D8A}" sourceName="fulfilled-by">
  <pivotTables>
    <pivotTable tabId="3" name="PivotTable1"/>
  </pivotTables>
  <data>
    <tabular pivotCacheId="154143823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0CE36A5B-C263-4661-98FD-D302D4095923}" cache="Slicer_Order_status" caption="Order status" style="SlicerStyleDark1 2" rowHeight="180000"/>
  <slicer name="Category" xr10:uid="{38BE74F9-B47A-4E92-AD76-2ECB37687477}" cache="Slicer_Category" caption="Category" startItem="2" style="SlicerStyleDark1 2" rowHeight="180000"/>
  <slicer name="ship-state" xr10:uid="{D40F33F2-57AD-4C8B-A6C6-2DF3A5366EF2}" cache="Slicer_ship_state" caption="ship-state" style="SlicerStyleDark1 2" rowHeight="180000"/>
  <slicer name="B2B" xr10:uid="{472FDF43-C460-4369-8C6C-C20637684D18}" cache="Slicer_B2B" caption="B2B" style="SlicerStyleDark1 2" rowHeight="180000"/>
  <slicer name="fulfilled-by" xr10:uid="{1712E875-4D95-4FC9-BA0B-139C5307ED5D}" cache="Slicer_fulfilled_by" caption="fulfilled-by" style="SlicerStyleDark1 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A18E3D-7A74-4C74-B1E9-5F8EF98A2356}" name="Table1" displayName="Table1" ref="A1:R284" totalsRowShown="0">
  <autoFilter ref="A1:R284" xr:uid="{7BA18E3D-7A74-4C74-B1E9-5F8EF98A2356}"/>
  <tableColumns count="18">
    <tableColumn id="2" xr3:uid="{2DB89F2A-E85A-4469-8C1B-BE517DC233E5}" name="Order ID"/>
    <tableColumn id="3" xr3:uid="{7E6C0768-48E0-400B-832B-94347FD2ED97}" name="Date" dataDxfId="1"/>
    <tableColumn id="4" xr3:uid="{54FCB6EF-C6F1-4322-B6FF-140BCA17964C}" name="Status"/>
    <tableColumn id="28" xr3:uid="{04DCC6A7-7F74-4CC6-B0A7-4567B07E6AE9}" name="Order status" dataDxfId="0">
      <calculatedColumnFormula>IF(Table1[[#This Row],[Status]]="Cancelled","Cancelled","Completed")</calculatedColumnFormula>
    </tableColumn>
    <tableColumn id="5" xr3:uid="{C7EAED97-1B0D-413D-AD47-D395BF47F5D0}" name="Fulfilment"/>
    <tableColumn id="6" xr3:uid="{7FC50582-6BAF-426E-A695-B86D84B8AFCC}" name="Sales Channel "/>
    <tableColumn id="7" xr3:uid="{A7725539-8FAC-4EDF-808D-455A00317DFD}" name="ship-service-level"/>
    <tableColumn id="9" xr3:uid="{BE04D5D9-6AE4-4EDD-9BFA-D04FECB89A9B}" name="SKU"/>
    <tableColumn id="10" xr3:uid="{75467352-9956-4057-B193-7D1C910C022E}" name="Category"/>
    <tableColumn id="11" xr3:uid="{31860448-A03B-46EB-BB7F-8C5B57360174}" name="Size"/>
    <tableColumn id="13" xr3:uid="{DAB227B4-639C-4A7D-BC2C-9D2EEDCCEB8F}" name="Courier Status"/>
    <tableColumn id="14" xr3:uid="{312DEC69-783C-4757-844D-338B6C2109C3}" name="Qty"/>
    <tableColumn id="16" xr3:uid="{B069033B-AA0D-4B8C-A023-7BE3B79DB8A1}" name="Amount"/>
    <tableColumn id="17" xr3:uid="{ED6B0100-CF7B-4E90-B08A-835600CA8FAC}" name="ship-city"/>
    <tableColumn id="18" xr3:uid="{3AAD0AAD-BB55-43B5-87FD-0C2C93216C9C}" name="ship-state"/>
    <tableColumn id="20" xr3:uid="{FB717C4B-D434-4B83-90E0-B4CF82751F88}" name="ship-country"/>
    <tableColumn id="22" xr3:uid="{32649C03-C3C2-4E09-A6EE-F193002AB7FA}" name="B2B"/>
    <tableColumn id="23" xr3:uid="{95DB7469-6CCC-407C-9E23-CBE30797A2F1}" name="fulfilled-b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8DD8AA-6648-4050-AEF5-DB174462E666}" name="Table2" displayName="Table2" ref="A1:B8" totalsRowShown="0">
  <autoFilter ref="A1:B8" xr:uid="{898DD8AA-6648-4050-AEF5-DB174462E666}"/>
  <tableColumns count="2">
    <tableColumn id="1" xr3:uid="{421A852A-DB9A-4892-A382-427A2056C439}" name="Column1"/>
    <tableColumn id="2" xr3:uid="{B5A365FB-78FC-4179-B2C0-B7F5471C218F}"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23545-35EC-4E79-B259-6101985BD115}">
  <dimension ref="A1:R284"/>
  <sheetViews>
    <sheetView workbookViewId="0">
      <pane ySplit="1" topLeftCell="A2" activePane="bottomLeft" state="frozen"/>
      <selection activeCell="U1" sqref="U1"/>
      <selection pane="bottomLeft" activeCell="N16" sqref="N16"/>
    </sheetView>
  </sheetViews>
  <sheetFormatPr defaultRowHeight="14.4" x14ac:dyDescent="0.3"/>
  <cols>
    <col min="1" max="1" width="19.5546875" bestFit="1" customWidth="1"/>
    <col min="2" max="2" width="11.33203125" style="1" bestFit="1" customWidth="1"/>
    <col min="3" max="3" width="23.44140625" bestFit="1" customWidth="1"/>
    <col min="4" max="4" width="23.44140625" customWidth="1"/>
    <col min="5" max="5" width="15.33203125" bestFit="1" customWidth="1"/>
    <col min="6" max="6" width="18.21875" bestFit="1" customWidth="1"/>
    <col min="7" max="7" width="25.88671875" bestFit="1" customWidth="1"/>
    <col min="8" max="8" width="12.77734375" bestFit="1" customWidth="1"/>
    <col min="9" max="9" width="6.77734375" bestFit="1" customWidth="1"/>
    <col min="10" max="11" width="15" bestFit="1" customWidth="1"/>
    <col min="12" max="12" width="10.44140625" bestFit="1" customWidth="1"/>
    <col min="13" max="13" width="27.6640625" bestFit="1" customWidth="1"/>
    <col min="14" max="15" width="19.88671875" bestFit="1" customWidth="1"/>
    <col min="16" max="16" width="13.33203125" customWidth="1"/>
    <col min="17" max="18" width="12.33203125" bestFit="1" customWidth="1"/>
    <col min="19" max="19" width="12" customWidth="1"/>
    <col min="20" max="20" width="13.77734375" customWidth="1"/>
  </cols>
  <sheetData>
    <row r="1" spans="1:18" x14ac:dyDescent="0.3">
      <c r="A1" t="s">
        <v>0</v>
      </c>
      <c r="B1" s="1" t="s">
        <v>1</v>
      </c>
      <c r="C1" t="s">
        <v>2</v>
      </c>
      <c r="D1" t="s">
        <v>729</v>
      </c>
      <c r="E1" t="s">
        <v>3</v>
      </c>
      <c r="F1" t="s">
        <v>4</v>
      </c>
      <c r="G1" t="s">
        <v>5</v>
      </c>
      <c r="H1" t="s">
        <v>6</v>
      </c>
      <c r="I1" t="s">
        <v>7</v>
      </c>
      <c r="J1" t="s">
        <v>8</v>
      </c>
      <c r="K1" t="s">
        <v>9</v>
      </c>
      <c r="L1" t="s">
        <v>10</v>
      </c>
      <c r="M1" t="s">
        <v>11</v>
      </c>
      <c r="N1" t="s">
        <v>12</v>
      </c>
      <c r="O1" t="s">
        <v>13</v>
      </c>
      <c r="P1" t="s">
        <v>14</v>
      </c>
      <c r="Q1" t="s">
        <v>15</v>
      </c>
      <c r="R1" t="s">
        <v>16</v>
      </c>
    </row>
    <row r="2" spans="1:18" x14ac:dyDescent="0.3">
      <c r="A2" t="s">
        <v>17</v>
      </c>
      <c r="B2" s="1">
        <v>44681</v>
      </c>
      <c r="C2" t="s">
        <v>18</v>
      </c>
      <c r="D2" t="str">
        <f>IF(Table1[[#This Row],[Status]]="Cancelled","Cancelled","Completed")</f>
        <v>Cancelled</v>
      </c>
      <c r="E2" t="s">
        <v>19</v>
      </c>
      <c r="F2" t="s">
        <v>20</v>
      </c>
      <c r="G2" t="s">
        <v>21</v>
      </c>
      <c r="H2" t="s">
        <v>22</v>
      </c>
      <c r="I2" t="s">
        <v>23</v>
      </c>
      <c r="J2" t="s">
        <v>24</v>
      </c>
      <c r="L2">
        <v>0</v>
      </c>
      <c r="M2">
        <v>647.62</v>
      </c>
      <c r="N2" t="s">
        <v>25</v>
      </c>
      <c r="O2" t="s">
        <v>26</v>
      </c>
      <c r="P2" t="s">
        <v>27</v>
      </c>
      <c r="Q2" t="b">
        <v>0</v>
      </c>
      <c r="R2" t="s">
        <v>28</v>
      </c>
    </row>
    <row r="3" spans="1:18" x14ac:dyDescent="0.3">
      <c r="A3" t="s">
        <v>29</v>
      </c>
      <c r="B3" s="1">
        <v>44681</v>
      </c>
      <c r="C3" t="s">
        <v>30</v>
      </c>
      <c r="D3" t="str">
        <f>IF(Table1[[#This Row],[Status]]="Cancelled","Cancelled","Completed")</f>
        <v>Completed</v>
      </c>
      <c r="E3" t="s">
        <v>19</v>
      </c>
      <c r="F3" t="s">
        <v>20</v>
      </c>
      <c r="G3" t="s">
        <v>21</v>
      </c>
      <c r="H3" t="s">
        <v>31</v>
      </c>
      <c r="I3" t="s">
        <v>32</v>
      </c>
      <c r="J3" t="s">
        <v>33</v>
      </c>
      <c r="K3" t="s">
        <v>34</v>
      </c>
      <c r="L3">
        <v>1</v>
      </c>
      <c r="M3">
        <v>406</v>
      </c>
      <c r="N3" t="s">
        <v>35</v>
      </c>
      <c r="O3" t="s">
        <v>36</v>
      </c>
      <c r="P3" t="s">
        <v>27</v>
      </c>
      <c r="Q3" t="b">
        <v>0</v>
      </c>
      <c r="R3" t="s">
        <v>28</v>
      </c>
    </row>
    <row r="4" spans="1:18" x14ac:dyDescent="0.3">
      <c r="A4" t="s">
        <v>37</v>
      </c>
      <c r="B4" s="1">
        <v>44681</v>
      </c>
      <c r="C4" t="s">
        <v>34</v>
      </c>
      <c r="D4" t="str">
        <f>IF(Table1[[#This Row],[Status]]="Cancelled","Cancelled","Completed")</f>
        <v>Completed</v>
      </c>
      <c r="E4" t="s">
        <v>38</v>
      </c>
      <c r="F4" t="s">
        <v>20</v>
      </c>
      <c r="G4" t="s">
        <v>39</v>
      </c>
      <c r="H4" t="s">
        <v>40</v>
      </c>
      <c r="I4" t="s">
        <v>32</v>
      </c>
      <c r="J4" t="s">
        <v>41</v>
      </c>
      <c r="K4" t="s">
        <v>34</v>
      </c>
      <c r="L4">
        <v>1</v>
      </c>
      <c r="M4">
        <v>329</v>
      </c>
      <c r="N4" t="s">
        <v>42</v>
      </c>
      <c r="O4" t="s">
        <v>26</v>
      </c>
      <c r="P4" t="s">
        <v>27</v>
      </c>
      <c r="Q4" t="b">
        <v>1</v>
      </c>
    </row>
    <row r="5" spans="1:18" x14ac:dyDescent="0.3">
      <c r="A5" t="s">
        <v>43</v>
      </c>
      <c r="B5" s="1">
        <v>44681</v>
      </c>
      <c r="C5" t="s">
        <v>18</v>
      </c>
      <c r="D5" t="str">
        <f>IF(Table1[[#This Row],[Status]]="Cancelled","Cancelled","Completed")</f>
        <v>Cancelled</v>
      </c>
      <c r="E5" t="s">
        <v>19</v>
      </c>
      <c r="F5" t="s">
        <v>20</v>
      </c>
      <c r="G5" t="s">
        <v>21</v>
      </c>
      <c r="H5" t="s">
        <v>44</v>
      </c>
      <c r="I5" t="s">
        <v>45</v>
      </c>
      <c r="J5" t="s">
        <v>46</v>
      </c>
      <c r="L5">
        <v>0</v>
      </c>
      <c r="M5">
        <v>753.33</v>
      </c>
      <c r="N5" t="s">
        <v>47</v>
      </c>
      <c r="O5" t="s">
        <v>47</v>
      </c>
      <c r="P5" t="s">
        <v>27</v>
      </c>
      <c r="Q5" t="b">
        <v>0</v>
      </c>
      <c r="R5" t="s">
        <v>28</v>
      </c>
    </row>
    <row r="6" spans="1:18" x14ac:dyDescent="0.3">
      <c r="A6" t="s">
        <v>48</v>
      </c>
      <c r="B6" s="1">
        <v>44681</v>
      </c>
      <c r="C6" t="s">
        <v>34</v>
      </c>
      <c r="D6" t="str">
        <f>IF(Table1[[#This Row],[Status]]="Cancelled","Cancelled","Completed")</f>
        <v>Completed</v>
      </c>
      <c r="E6" t="s">
        <v>38</v>
      </c>
      <c r="F6" t="s">
        <v>20</v>
      </c>
      <c r="G6" t="s">
        <v>39</v>
      </c>
      <c r="H6" t="s">
        <v>49</v>
      </c>
      <c r="I6" t="s">
        <v>50</v>
      </c>
      <c r="J6" t="s">
        <v>33</v>
      </c>
      <c r="K6" t="s">
        <v>34</v>
      </c>
      <c r="L6">
        <v>1</v>
      </c>
      <c r="M6">
        <v>574</v>
      </c>
      <c r="N6" t="s">
        <v>51</v>
      </c>
      <c r="O6" t="s">
        <v>52</v>
      </c>
      <c r="P6" t="s">
        <v>27</v>
      </c>
      <c r="Q6" t="b">
        <v>0</v>
      </c>
    </row>
    <row r="7" spans="1:18" x14ac:dyDescent="0.3">
      <c r="A7" t="s">
        <v>53</v>
      </c>
      <c r="B7" s="1">
        <v>44681</v>
      </c>
      <c r="C7" t="s">
        <v>34</v>
      </c>
      <c r="D7" t="str">
        <f>IF(Table1[[#This Row],[Status]]="Cancelled","Cancelled","Completed")</f>
        <v>Completed</v>
      </c>
      <c r="E7" t="s">
        <v>38</v>
      </c>
      <c r="F7" t="s">
        <v>20</v>
      </c>
      <c r="G7" t="s">
        <v>39</v>
      </c>
      <c r="H7" t="s">
        <v>54</v>
      </c>
      <c r="I7" t="s">
        <v>23</v>
      </c>
      <c r="J7" t="s">
        <v>41</v>
      </c>
      <c r="K7" t="s">
        <v>34</v>
      </c>
      <c r="L7">
        <v>1</v>
      </c>
      <c r="M7">
        <v>824</v>
      </c>
      <c r="N7" t="s">
        <v>55</v>
      </c>
      <c r="O7" t="s">
        <v>56</v>
      </c>
      <c r="P7" t="s">
        <v>27</v>
      </c>
      <c r="Q7" t="b">
        <v>0</v>
      </c>
    </row>
    <row r="8" spans="1:18" x14ac:dyDescent="0.3">
      <c r="A8" t="s">
        <v>57</v>
      </c>
      <c r="B8" s="1">
        <v>44681</v>
      </c>
      <c r="C8" t="s">
        <v>34</v>
      </c>
      <c r="D8" t="str">
        <f>IF(Table1[[#This Row],[Status]]="Cancelled","Cancelled","Completed")</f>
        <v>Completed</v>
      </c>
      <c r="E8" t="s">
        <v>38</v>
      </c>
      <c r="F8" t="s">
        <v>20</v>
      </c>
      <c r="G8" t="s">
        <v>39</v>
      </c>
      <c r="H8" t="s">
        <v>58</v>
      </c>
      <c r="I8" t="s">
        <v>23</v>
      </c>
      <c r="J8" t="s">
        <v>46</v>
      </c>
      <c r="K8" t="s">
        <v>34</v>
      </c>
      <c r="L8">
        <v>1</v>
      </c>
      <c r="M8">
        <v>653</v>
      </c>
      <c r="N8" t="s">
        <v>59</v>
      </c>
      <c r="O8" t="s">
        <v>59</v>
      </c>
      <c r="P8" t="s">
        <v>27</v>
      </c>
      <c r="Q8" t="b">
        <v>0</v>
      </c>
    </row>
    <row r="9" spans="1:18" x14ac:dyDescent="0.3">
      <c r="A9" t="s">
        <v>60</v>
      </c>
      <c r="B9" s="1">
        <v>44681</v>
      </c>
      <c r="C9" t="s">
        <v>30</v>
      </c>
      <c r="D9" t="str">
        <f>IF(Table1[[#This Row],[Status]]="Cancelled","Cancelled","Completed")</f>
        <v>Completed</v>
      </c>
      <c r="E9" t="s">
        <v>19</v>
      </c>
      <c r="F9" t="s">
        <v>20</v>
      </c>
      <c r="G9" t="s">
        <v>21</v>
      </c>
      <c r="H9" t="s">
        <v>61</v>
      </c>
      <c r="I9" t="s">
        <v>32</v>
      </c>
      <c r="J9" t="s">
        <v>24</v>
      </c>
      <c r="K9" t="s">
        <v>34</v>
      </c>
      <c r="L9">
        <v>1</v>
      </c>
      <c r="M9">
        <v>399</v>
      </c>
      <c r="N9" t="s">
        <v>62</v>
      </c>
      <c r="O9" t="s">
        <v>63</v>
      </c>
      <c r="P9" t="s">
        <v>27</v>
      </c>
      <c r="Q9" t="b">
        <v>0</v>
      </c>
      <c r="R9" t="s">
        <v>28</v>
      </c>
    </row>
    <row r="10" spans="1:18" x14ac:dyDescent="0.3">
      <c r="A10" t="s">
        <v>64</v>
      </c>
      <c r="B10" s="1">
        <v>44681</v>
      </c>
      <c r="C10" t="s">
        <v>34</v>
      </c>
      <c r="D10" t="str">
        <f>IF(Table1[[#This Row],[Status]]="Cancelled","Cancelled","Completed")</f>
        <v>Completed</v>
      </c>
      <c r="E10" t="s">
        <v>38</v>
      </c>
      <c r="F10" t="s">
        <v>20</v>
      </c>
      <c r="G10" t="s">
        <v>39</v>
      </c>
      <c r="H10" t="s">
        <v>65</v>
      </c>
      <c r="I10" t="s">
        <v>32</v>
      </c>
      <c r="J10" t="s">
        <v>66</v>
      </c>
      <c r="K10" t="s">
        <v>34</v>
      </c>
      <c r="L10">
        <v>1</v>
      </c>
      <c r="M10">
        <v>363</v>
      </c>
      <c r="N10" t="s">
        <v>67</v>
      </c>
      <c r="O10" t="s">
        <v>52</v>
      </c>
      <c r="P10" t="s">
        <v>27</v>
      </c>
      <c r="Q10" t="b">
        <v>0</v>
      </c>
    </row>
    <row r="11" spans="1:18" x14ac:dyDescent="0.3">
      <c r="A11" t="s">
        <v>68</v>
      </c>
      <c r="B11" s="1">
        <v>44681</v>
      </c>
      <c r="C11" t="s">
        <v>34</v>
      </c>
      <c r="D11" t="str">
        <f>IF(Table1[[#This Row],[Status]]="Cancelled","Cancelled","Completed")</f>
        <v>Completed</v>
      </c>
      <c r="E11" t="s">
        <v>38</v>
      </c>
      <c r="F11" t="s">
        <v>20</v>
      </c>
      <c r="G11" t="s">
        <v>39</v>
      </c>
      <c r="H11" t="s">
        <v>69</v>
      </c>
      <c r="I11" t="s">
        <v>32</v>
      </c>
      <c r="J11" t="s">
        <v>24</v>
      </c>
      <c r="K11" t="s">
        <v>34</v>
      </c>
      <c r="L11">
        <v>1</v>
      </c>
      <c r="M11">
        <v>685</v>
      </c>
      <c r="N11" t="s">
        <v>51</v>
      </c>
      <c r="O11" t="s">
        <v>52</v>
      </c>
      <c r="P11" t="s">
        <v>27</v>
      </c>
      <c r="Q11" t="b">
        <v>0</v>
      </c>
    </row>
    <row r="12" spans="1:18" x14ac:dyDescent="0.3">
      <c r="A12" t="s">
        <v>70</v>
      </c>
      <c r="B12" s="1">
        <v>44681</v>
      </c>
      <c r="C12" t="s">
        <v>34</v>
      </c>
      <c r="D12" t="str">
        <f>IF(Table1[[#This Row],[Status]]="Cancelled","Cancelled","Completed")</f>
        <v>Completed</v>
      </c>
      <c r="E12" t="s">
        <v>38</v>
      </c>
      <c r="F12" t="s">
        <v>20</v>
      </c>
      <c r="G12" t="s">
        <v>39</v>
      </c>
      <c r="H12" t="s">
        <v>71</v>
      </c>
      <c r="I12" t="s">
        <v>32</v>
      </c>
      <c r="J12" t="s">
        <v>72</v>
      </c>
      <c r="K12" t="s">
        <v>34</v>
      </c>
      <c r="L12">
        <v>1</v>
      </c>
      <c r="M12">
        <v>364</v>
      </c>
      <c r="N12" t="s">
        <v>73</v>
      </c>
      <c r="O12" t="s">
        <v>56</v>
      </c>
      <c r="P12" t="s">
        <v>27</v>
      </c>
      <c r="Q12" t="b">
        <v>0</v>
      </c>
    </row>
    <row r="13" spans="1:18" x14ac:dyDescent="0.3">
      <c r="A13" t="s">
        <v>74</v>
      </c>
      <c r="B13" s="1">
        <v>44681</v>
      </c>
      <c r="C13" t="s">
        <v>30</v>
      </c>
      <c r="D13" t="str">
        <f>IF(Table1[[#This Row],[Status]]="Cancelled","Cancelled","Completed")</f>
        <v>Completed</v>
      </c>
      <c r="E13" t="s">
        <v>19</v>
      </c>
      <c r="F13" t="s">
        <v>20</v>
      </c>
      <c r="G13" t="s">
        <v>21</v>
      </c>
      <c r="H13" t="s">
        <v>75</v>
      </c>
      <c r="I13" t="s">
        <v>32</v>
      </c>
      <c r="J13" t="s">
        <v>72</v>
      </c>
      <c r="K13" t="s">
        <v>34</v>
      </c>
      <c r="L13">
        <v>1</v>
      </c>
      <c r="M13">
        <v>399</v>
      </c>
      <c r="N13" t="s">
        <v>76</v>
      </c>
      <c r="O13" t="s">
        <v>26</v>
      </c>
      <c r="P13" t="s">
        <v>27</v>
      </c>
      <c r="Q13" t="b">
        <v>0</v>
      </c>
      <c r="R13" t="s">
        <v>28</v>
      </c>
    </row>
    <row r="14" spans="1:18" x14ac:dyDescent="0.3">
      <c r="A14" t="s">
        <v>77</v>
      </c>
      <c r="B14" s="1">
        <v>44681</v>
      </c>
      <c r="C14" t="s">
        <v>34</v>
      </c>
      <c r="D14" t="str">
        <f>IF(Table1[[#This Row],[Status]]="Cancelled","Cancelled","Completed")</f>
        <v>Completed</v>
      </c>
      <c r="E14" t="s">
        <v>38</v>
      </c>
      <c r="F14" t="s">
        <v>20</v>
      </c>
      <c r="G14" t="s">
        <v>39</v>
      </c>
      <c r="H14" t="s">
        <v>78</v>
      </c>
      <c r="I14" t="s">
        <v>23</v>
      </c>
      <c r="J14" t="s">
        <v>72</v>
      </c>
      <c r="K14" t="s">
        <v>34</v>
      </c>
      <c r="L14">
        <v>1</v>
      </c>
      <c r="M14">
        <v>657</v>
      </c>
      <c r="N14" t="s">
        <v>25</v>
      </c>
      <c r="O14" t="s">
        <v>26</v>
      </c>
      <c r="P14" t="s">
        <v>27</v>
      </c>
      <c r="Q14" t="b">
        <v>0</v>
      </c>
    </row>
    <row r="15" spans="1:18" x14ac:dyDescent="0.3">
      <c r="A15" t="s">
        <v>79</v>
      </c>
      <c r="B15" s="1">
        <v>44681</v>
      </c>
      <c r="C15" t="s">
        <v>30</v>
      </c>
      <c r="D15" t="str">
        <f>IF(Table1[[#This Row],[Status]]="Cancelled","Cancelled","Completed")</f>
        <v>Completed</v>
      </c>
      <c r="E15" t="s">
        <v>19</v>
      </c>
      <c r="F15" t="s">
        <v>20</v>
      </c>
      <c r="G15" t="s">
        <v>21</v>
      </c>
      <c r="H15" t="s">
        <v>80</v>
      </c>
      <c r="I15" t="s">
        <v>23</v>
      </c>
      <c r="J15" t="s">
        <v>46</v>
      </c>
      <c r="K15" t="s">
        <v>34</v>
      </c>
      <c r="L15">
        <v>1</v>
      </c>
      <c r="M15">
        <v>771</v>
      </c>
      <c r="N15" t="s">
        <v>25</v>
      </c>
      <c r="O15" t="s">
        <v>26</v>
      </c>
      <c r="P15" t="s">
        <v>27</v>
      </c>
      <c r="Q15" t="b">
        <v>0</v>
      </c>
      <c r="R15" t="s">
        <v>28</v>
      </c>
    </row>
    <row r="16" spans="1:18" x14ac:dyDescent="0.3">
      <c r="A16" t="s">
        <v>81</v>
      </c>
      <c r="B16" s="1">
        <v>44681</v>
      </c>
      <c r="C16" t="s">
        <v>30</v>
      </c>
      <c r="D16" t="str">
        <f>IF(Table1[[#This Row],[Status]]="Cancelled","Cancelled","Completed")</f>
        <v>Completed</v>
      </c>
      <c r="E16" t="s">
        <v>19</v>
      </c>
      <c r="F16" t="s">
        <v>20</v>
      </c>
      <c r="G16" t="s">
        <v>21</v>
      </c>
      <c r="H16" t="s">
        <v>82</v>
      </c>
      <c r="I16" t="s">
        <v>32</v>
      </c>
      <c r="J16" t="s">
        <v>83</v>
      </c>
      <c r="K16" t="s">
        <v>34</v>
      </c>
      <c r="L16">
        <v>1</v>
      </c>
      <c r="M16">
        <v>544</v>
      </c>
      <c r="N16" t="s">
        <v>84</v>
      </c>
      <c r="O16" t="s">
        <v>85</v>
      </c>
      <c r="P16" t="s">
        <v>27</v>
      </c>
      <c r="Q16" t="b">
        <v>0</v>
      </c>
      <c r="R16" t="s">
        <v>28</v>
      </c>
    </row>
    <row r="17" spans="1:18" x14ac:dyDescent="0.3">
      <c r="A17" t="s">
        <v>86</v>
      </c>
      <c r="B17" s="1">
        <v>44681</v>
      </c>
      <c r="C17" t="s">
        <v>34</v>
      </c>
      <c r="D17" t="str">
        <f>IF(Table1[[#This Row],[Status]]="Cancelled","Cancelled","Completed")</f>
        <v>Completed</v>
      </c>
      <c r="E17" t="s">
        <v>38</v>
      </c>
      <c r="F17" t="s">
        <v>20</v>
      </c>
      <c r="G17" t="s">
        <v>39</v>
      </c>
      <c r="H17" t="s">
        <v>87</v>
      </c>
      <c r="I17" t="s">
        <v>32</v>
      </c>
      <c r="J17" t="s">
        <v>66</v>
      </c>
      <c r="K17" t="s">
        <v>34</v>
      </c>
      <c r="L17">
        <v>1</v>
      </c>
      <c r="M17">
        <v>329</v>
      </c>
      <c r="N17" t="s">
        <v>88</v>
      </c>
      <c r="O17" t="s">
        <v>89</v>
      </c>
      <c r="P17" t="s">
        <v>27</v>
      </c>
      <c r="Q17" t="b">
        <v>0</v>
      </c>
    </row>
    <row r="18" spans="1:18" x14ac:dyDescent="0.3">
      <c r="A18" t="s">
        <v>90</v>
      </c>
      <c r="B18" s="1">
        <v>44681</v>
      </c>
      <c r="C18" t="s">
        <v>34</v>
      </c>
      <c r="D18" t="str">
        <f>IF(Table1[[#This Row],[Status]]="Cancelled","Cancelled","Completed")</f>
        <v>Completed</v>
      </c>
      <c r="E18" t="s">
        <v>38</v>
      </c>
      <c r="F18" t="s">
        <v>20</v>
      </c>
      <c r="G18" t="s">
        <v>39</v>
      </c>
      <c r="H18" t="s">
        <v>91</v>
      </c>
      <c r="I18" t="s">
        <v>32</v>
      </c>
      <c r="J18" t="s">
        <v>41</v>
      </c>
      <c r="K18" t="s">
        <v>34</v>
      </c>
      <c r="L18">
        <v>1</v>
      </c>
      <c r="M18">
        <v>399</v>
      </c>
      <c r="N18" t="s">
        <v>92</v>
      </c>
      <c r="O18" t="s">
        <v>93</v>
      </c>
      <c r="P18" t="s">
        <v>27</v>
      </c>
      <c r="Q18" t="b">
        <v>0</v>
      </c>
    </row>
    <row r="19" spans="1:18" x14ac:dyDescent="0.3">
      <c r="A19" t="s">
        <v>94</v>
      </c>
      <c r="B19" s="1">
        <v>44681</v>
      </c>
      <c r="C19" t="s">
        <v>30</v>
      </c>
      <c r="D19" t="str">
        <f>IF(Table1[[#This Row],[Status]]="Cancelled","Cancelled","Completed")</f>
        <v>Completed</v>
      </c>
      <c r="E19" t="s">
        <v>19</v>
      </c>
      <c r="F19" t="s">
        <v>20</v>
      </c>
      <c r="G19" t="s">
        <v>21</v>
      </c>
      <c r="H19" t="s">
        <v>95</v>
      </c>
      <c r="I19" t="s">
        <v>32</v>
      </c>
      <c r="J19" t="s">
        <v>66</v>
      </c>
      <c r="K19" t="s">
        <v>34</v>
      </c>
      <c r="L19">
        <v>1</v>
      </c>
      <c r="M19">
        <v>458</v>
      </c>
      <c r="N19" t="s">
        <v>96</v>
      </c>
      <c r="O19" t="s">
        <v>97</v>
      </c>
      <c r="P19" t="s">
        <v>27</v>
      </c>
      <c r="Q19" t="b">
        <v>0</v>
      </c>
      <c r="R19" t="s">
        <v>28</v>
      </c>
    </row>
    <row r="20" spans="1:18" x14ac:dyDescent="0.3">
      <c r="A20" t="s">
        <v>98</v>
      </c>
      <c r="B20" s="1">
        <v>44681</v>
      </c>
      <c r="C20" t="s">
        <v>34</v>
      </c>
      <c r="D20" t="str">
        <f>IF(Table1[[#This Row],[Status]]="Cancelled","Cancelled","Completed")</f>
        <v>Completed</v>
      </c>
      <c r="E20" t="s">
        <v>38</v>
      </c>
      <c r="F20" t="s">
        <v>20</v>
      </c>
      <c r="G20" t="s">
        <v>39</v>
      </c>
      <c r="H20" t="s">
        <v>99</v>
      </c>
      <c r="I20" t="s">
        <v>23</v>
      </c>
      <c r="J20" t="s">
        <v>72</v>
      </c>
      <c r="K20" t="s">
        <v>34</v>
      </c>
      <c r="L20">
        <v>1</v>
      </c>
      <c r="M20">
        <v>886</v>
      </c>
      <c r="N20" t="s">
        <v>35</v>
      </c>
      <c r="O20" t="s">
        <v>36</v>
      </c>
      <c r="P20" t="s">
        <v>27</v>
      </c>
      <c r="Q20" t="b">
        <v>0</v>
      </c>
    </row>
    <row r="21" spans="1:18" x14ac:dyDescent="0.3">
      <c r="A21" t="s">
        <v>100</v>
      </c>
      <c r="B21" s="1">
        <v>44681</v>
      </c>
      <c r="C21" t="s">
        <v>34</v>
      </c>
      <c r="D21" t="str">
        <f>IF(Table1[[#This Row],[Status]]="Cancelled","Cancelled","Completed")</f>
        <v>Completed</v>
      </c>
      <c r="E21" t="s">
        <v>38</v>
      </c>
      <c r="F21" t="s">
        <v>20</v>
      </c>
      <c r="G21" t="s">
        <v>39</v>
      </c>
      <c r="H21" t="s">
        <v>101</v>
      </c>
      <c r="I21" t="s">
        <v>32</v>
      </c>
      <c r="J21" t="s">
        <v>33</v>
      </c>
      <c r="K21" t="s">
        <v>34</v>
      </c>
      <c r="L21">
        <v>1</v>
      </c>
      <c r="M21">
        <v>517</v>
      </c>
      <c r="N21" t="s">
        <v>102</v>
      </c>
      <c r="O21" t="s">
        <v>52</v>
      </c>
      <c r="P21" t="s">
        <v>27</v>
      </c>
      <c r="Q21" t="b">
        <v>0</v>
      </c>
    </row>
    <row r="22" spans="1:18" x14ac:dyDescent="0.3">
      <c r="A22" t="s">
        <v>103</v>
      </c>
      <c r="B22" s="1">
        <v>44681</v>
      </c>
      <c r="C22" t="s">
        <v>34</v>
      </c>
      <c r="D22" t="str">
        <f>IF(Table1[[#This Row],[Status]]="Cancelled","Cancelled","Completed")</f>
        <v>Completed</v>
      </c>
      <c r="E22" t="s">
        <v>38</v>
      </c>
      <c r="F22" t="s">
        <v>20</v>
      </c>
      <c r="G22" t="s">
        <v>39</v>
      </c>
      <c r="H22" t="s">
        <v>104</v>
      </c>
      <c r="I22" t="s">
        <v>23</v>
      </c>
      <c r="J22" t="s">
        <v>105</v>
      </c>
      <c r="K22" t="s">
        <v>34</v>
      </c>
      <c r="L22">
        <v>1</v>
      </c>
      <c r="M22">
        <v>666</v>
      </c>
      <c r="N22" t="s">
        <v>35</v>
      </c>
      <c r="O22" t="s">
        <v>36</v>
      </c>
      <c r="P22" t="s">
        <v>27</v>
      </c>
      <c r="Q22" t="b">
        <v>0</v>
      </c>
    </row>
    <row r="23" spans="1:18" x14ac:dyDescent="0.3">
      <c r="A23" t="s">
        <v>106</v>
      </c>
      <c r="B23" s="1">
        <v>44681</v>
      </c>
      <c r="C23" t="s">
        <v>34</v>
      </c>
      <c r="D23" t="str">
        <f>IF(Table1[[#This Row],[Status]]="Cancelled","Cancelled","Completed")</f>
        <v>Completed</v>
      </c>
      <c r="E23" t="s">
        <v>38</v>
      </c>
      <c r="F23" t="s">
        <v>20</v>
      </c>
      <c r="G23" t="s">
        <v>39</v>
      </c>
      <c r="H23" t="s">
        <v>107</v>
      </c>
      <c r="I23" t="s">
        <v>32</v>
      </c>
      <c r="J23" t="s">
        <v>46</v>
      </c>
      <c r="K23" t="s">
        <v>34</v>
      </c>
      <c r="L23">
        <v>1</v>
      </c>
      <c r="M23">
        <v>376</v>
      </c>
      <c r="N23" t="s">
        <v>62</v>
      </c>
      <c r="O23" t="s">
        <v>63</v>
      </c>
      <c r="P23" t="s">
        <v>27</v>
      </c>
      <c r="Q23" t="b">
        <v>0</v>
      </c>
    </row>
    <row r="24" spans="1:18" x14ac:dyDescent="0.3">
      <c r="A24" t="s">
        <v>108</v>
      </c>
      <c r="B24" s="1">
        <v>44681</v>
      </c>
      <c r="C24" t="s">
        <v>18</v>
      </c>
      <c r="D24" t="str">
        <f>IF(Table1[[#This Row],[Status]]="Cancelled","Cancelled","Completed")</f>
        <v>Cancelled</v>
      </c>
      <c r="E24" t="s">
        <v>19</v>
      </c>
      <c r="F24" t="s">
        <v>20</v>
      </c>
      <c r="G24" t="s">
        <v>21</v>
      </c>
      <c r="H24" t="s">
        <v>109</v>
      </c>
      <c r="I24" t="s">
        <v>23</v>
      </c>
      <c r="J24" t="s">
        <v>105</v>
      </c>
      <c r="L24">
        <v>0</v>
      </c>
      <c r="M24">
        <v>570.48</v>
      </c>
      <c r="N24" t="s">
        <v>110</v>
      </c>
      <c r="O24" t="s">
        <v>26</v>
      </c>
      <c r="P24" t="s">
        <v>27</v>
      </c>
      <c r="Q24" t="b">
        <v>0</v>
      </c>
      <c r="R24" t="s">
        <v>28</v>
      </c>
    </row>
    <row r="25" spans="1:18" x14ac:dyDescent="0.3">
      <c r="A25" t="s">
        <v>111</v>
      </c>
      <c r="B25" s="1">
        <v>44681</v>
      </c>
      <c r="C25" t="s">
        <v>34</v>
      </c>
      <c r="D25" t="str">
        <f>IF(Table1[[#This Row],[Status]]="Cancelled","Cancelled","Completed")</f>
        <v>Completed</v>
      </c>
      <c r="E25" t="s">
        <v>38</v>
      </c>
      <c r="F25" t="s">
        <v>20</v>
      </c>
      <c r="G25" t="s">
        <v>39</v>
      </c>
      <c r="H25" t="s">
        <v>112</v>
      </c>
      <c r="I25" t="s">
        <v>32</v>
      </c>
      <c r="J25" t="s">
        <v>46</v>
      </c>
      <c r="K25" t="s">
        <v>34</v>
      </c>
      <c r="L25">
        <v>1</v>
      </c>
      <c r="M25">
        <v>499</v>
      </c>
      <c r="N25" t="s">
        <v>113</v>
      </c>
      <c r="O25" t="s">
        <v>114</v>
      </c>
      <c r="P25" t="s">
        <v>27</v>
      </c>
      <c r="Q25" t="b">
        <v>0</v>
      </c>
    </row>
    <row r="26" spans="1:18" x14ac:dyDescent="0.3">
      <c r="A26" t="s">
        <v>115</v>
      </c>
      <c r="B26" s="1">
        <v>44681</v>
      </c>
      <c r="C26" t="s">
        <v>30</v>
      </c>
      <c r="D26" t="str">
        <f>IF(Table1[[#This Row],[Status]]="Cancelled","Cancelled","Completed")</f>
        <v>Completed</v>
      </c>
      <c r="E26" t="s">
        <v>19</v>
      </c>
      <c r="F26" t="s">
        <v>20</v>
      </c>
      <c r="G26" t="s">
        <v>21</v>
      </c>
      <c r="H26" t="s">
        <v>116</v>
      </c>
      <c r="I26" t="s">
        <v>23</v>
      </c>
      <c r="J26" t="s">
        <v>72</v>
      </c>
      <c r="K26" t="s">
        <v>34</v>
      </c>
      <c r="L26">
        <v>1</v>
      </c>
      <c r="M26">
        <v>582</v>
      </c>
      <c r="N26" t="s">
        <v>117</v>
      </c>
      <c r="O26" t="s">
        <v>118</v>
      </c>
      <c r="P26" t="s">
        <v>27</v>
      </c>
      <c r="Q26" t="b">
        <v>0</v>
      </c>
      <c r="R26" t="s">
        <v>28</v>
      </c>
    </row>
    <row r="27" spans="1:18" x14ac:dyDescent="0.3">
      <c r="A27" t="s">
        <v>119</v>
      </c>
      <c r="B27" s="1">
        <v>44681</v>
      </c>
      <c r="C27" t="s">
        <v>30</v>
      </c>
      <c r="D27" t="str">
        <f>IF(Table1[[#This Row],[Status]]="Cancelled","Cancelled","Completed")</f>
        <v>Completed</v>
      </c>
      <c r="E27" t="s">
        <v>19</v>
      </c>
      <c r="F27" t="s">
        <v>20</v>
      </c>
      <c r="G27" t="s">
        <v>21</v>
      </c>
      <c r="H27" t="s">
        <v>120</v>
      </c>
      <c r="I27" t="s">
        <v>32</v>
      </c>
      <c r="J27" t="s">
        <v>33</v>
      </c>
      <c r="K27" t="s">
        <v>34</v>
      </c>
      <c r="L27">
        <v>1</v>
      </c>
      <c r="M27">
        <v>299</v>
      </c>
      <c r="N27" t="s">
        <v>121</v>
      </c>
      <c r="O27" t="s">
        <v>122</v>
      </c>
      <c r="P27" t="s">
        <v>27</v>
      </c>
      <c r="Q27" t="b">
        <v>0</v>
      </c>
      <c r="R27" t="s">
        <v>28</v>
      </c>
    </row>
    <row r="28" spans="1:18" x14ac:dyDescent="0.3">
      <c r="A28" t="s">
        <v>123</v>
      </c>
      <c r="B28" s="1">
        <v>44681</v>
      </c>
      <c r="C28" t="s">
        <v>34</v>
      </c>
      <c r="D28" t="str">
        <f>IF(Table1[[#This Row],[Status]]="Cancelled","Cancelled","Completed")</f>
        <v>Completed</v>
      </c>
      <c r="E28" t="s">
        <v>38</v>
      </c>
      <c r="F28" t="s">
        <v>20</v>
      </c>
      <c r="G28" t="s">
        <v>39</v>
      </c>
      <c r="H28" t="s">
        <v>124</v>
      </c>
      <c r="I28" t="s">
        <v>32</v>
      </c>
      <c r="J28" t="s">
        <v>125</v>
      </c>
      <c r="K28" t="s">
        <v>34</v>
      </c>
      <c r="L28">
        <v>1</v>
      </c>
      <c r="M28">
        <v>459</v>
      </c>
      <c r="N28" t="s">
        <v>126</v>
      </c>
      <c r="O28" t="s">
        <v>26</v>
      </c>
      <c r="P28" t="s">
        <v>27</v>
      </c>
      <c r="Q28" t="b">
        <v>0</v>
      </c>
    </row>
    <row r="29" spans="1:18" x14ac:dyDescent="0.3">
      <c r="A29" t="s">
        <v>127</v>
      </c>
      <c r="B29" s="1">
        <v>44681</v>
      </c>
      <c r="C29" t="s">
        <v>34</v>
      </c>
      <c r="D29" t="str">
        <f>IF(Table1[[#This Row],[Status]]="Cancelled","Cancelled","Completed")</f>
        <v>Completed</v>
      </c>
      <c r="E29" t="s">
        <v>38</v>
      </c>
      <c r="F29" t="s">
        <v>20</v>
      </c>
      <c r="G29" t="s">
        <v>39</v>
      </c>
      <c r="H29" t="s">
        <v>128</v>
      </c>
      <c r="I29" t="s">
        <v>32</v>
      </c>
      <c r="J29" t="s">
        <v>105</v>
      </c>
      <c r="K29" t="s">
        <v>34</v>
      </c>
      <c r="L29">
        <v>1</v>
      </c>
      <c r="M29">
        <v>399</v>
      </c>
      <c r="N29" t="s">
        <v>35</v>
      </c>
      <c r="O29" t="s">
        <v>36</v>
      </c>
      <c r="P29" t="s">
        <v>27</v>
      </c>
      <c r="Q29" t="b">
        <v>0</v>
      </c>
    </row>
    <row r="30" spans="1:18" x14ac:dyDescent="0.3">
      <c r="A30" t="s">
        <v>130</v>
      </c>
      <c r="B30" s="1">
        <v>44681</v>
      </c>
      <c r="C30" t="s">
        <v>34</v>
      </c>
      <c r="D30" t="str">
        <f>IF(Table1[[#This Row],[Status]]="Cancelled","Cancelled","Completed")</f>
        <v>Completed</v>
      </c>
      <c r="E30" t="s">
        <v>38</v>
      </c>
      <c r="F30" t="s">
        <v>20</v>
      </c>
      <c r="G30" t="s">
        <v>39</v>
      </c>
      <c r="H30" t="s">
        <v>131</v>
      </c>
      <c r="I30" t="s">
        <v>45</v>
      </c>
      <c r="J30" t="s">
        <v>24</v>
      </c>
      <c r="K30" t="s">
        <v>34</v>
      </c>
      <c r="L30">
        <v>1</v>
      </c>
      <c r="M30">
        <v>791</v>
      </c>
      <c r="N30" t="s">
        <v>132</v>
      </c>
      <c r="O30" t="s">
        <v>52</v>
      </c>
      <c r="P30" t="s">
        <v>27</v>
      </c>
      <c r="Q30" t="b">
        <v>0</v>
      </c>
    </row>
    <row r="31" spans="1:18" x14ac:dyDescent="0.3">
      <c r="A31" t="s">
        <v>133</v>
      </c>
      <c r="B31" s="1">
        <v>44681</v>
      </c>
      <c r="C31" t="s">
        <v>34</v>
      </c>
      <c r="D31" t="str">
        <f>IF(Table1[[#This Row],[Status]]="Cancelled","Cancelled","Completed")</f>
        <v>Completed</v>
      </c>
      <c r="E31" t="s">
        <v>38</v>
      </c>
      <c r="F31" t="s">
        <v>20</v>
      </c>
      <c r="G31" t="s">
        <v>39</v>
      </c>
      <c r="H31" t="s">
        <v>134</v>
      </c>
      <c r="I31" t="s">
        <v>32</v>
      </c>
      <c r="J31" t="s">
        <v>41</v>
      </c>
      <c r="K31" t="s">
        <v>34</v>
      </c>
      <c r="L31">
        <v>1</v>
      </c>
      <c r="M31">
        <v>499</v>
      </c>
      <c r="N31" t="s">
        <v>135</v>
      </c>
      <c r="O31" t="s">
        <v>56</v>
      </c>
      <c r="P31" t="s">
        <v>27</v>
      </c>
      <c r="Q31" t="b">
        <v>0</v>
      </c>
    </row>
    <row r="32" spans="1:18" x14ac:dyDescent="0.3">
      <c r="A32" t="s">
        <v>136</v>
      </c>
      <c r="B32" s="1">
        <v>44681</v>
      </c>
      <c r="C32" t="s">
        <v>30</v>
      </c>
      <c r="D32" t="str">
        <f>IF(Table1[[#This Row],[Status]]="Cancelled","Cancelled","Completed")</f>
        <v>Completed</v>
      </c>
      <c r="E32" t="s">
        <v>19</v>
      </c>
      <c r="F32" t="s">
        <v>20</v>
      </c>
      <c r="G32" t="s">
        <v>21</v>
      </c>
      <c r="H32" t="s">
        <v>137</v>
      </c>
      <c r="I32" t="s">
        <v>23</v>
      </c>
      <c r="J32" t="s">
        <v>105</v>
      </c>
      <c r="K32" t="s">
        <v>34</v>
      </c>
      <c r="L32">
        <v>1</v>
      </c>
      <c r="M32">
        <v>1233</v>
      </c>
      <c r="N32" t="s">
        <v>138</v>
      </c>
      <c r="O32" t="s">
        <v>85</v>
      </c>
      <c r="P32" t="s">
        <v>27</v>
      </c>
      <c r="Q32" t="b">
        <v>0</v>
      </c>
      <c r="R32" t="s">
        <v>28</v>
      </c>
    </row>
    <row r="33" spans="1:18" x14ac:dyDescent="0.3">
      <c r="A33" t="s">
        <v>139</v>
      </c>
      <c r="B33" s="1">
        <v>44681</v>
      </c>
      <c r="C33" t="s">
        <v>30</v>
      </c>
      <c r="D33" t="str">
        <f>IF(Table1[[#This Row],[Status]]="Cancelled","Cancelled","Completed")</f>
        <v>Completed</v>
      </c>
      <c r="E33" t="s">
        <v>19</v>
      </c>
      <c r="F33" t="s">
        <v>20</v>
      </c>
      <c r="G33" t="s">
        <v>21</v>
      </c>
      <c r="H33" t="s">
        <v>140</v>
      </c>
      <c r="I33" t="s">
        <v>32</v>
      </c>
      <c r="J33" t="s">
        <v>105</v>
      </c>
      <c r="K33" t="s">
        <v>34</v>
      </c>
      <c r="L33">
        <v>1</v>
      </c>
      <c r="M33">
        <v>517</v>
      </c>
      <c r="N33" t="s">
        <v>141</v>
      </c>
      <c r="O33" t="s">
        <v>142</v>
      </c>
      <c r="P33" t="s">
        <v>27</v>
      </c>
      <c r="Q33" t="b">
        <v>0</v>
      </c>
      <c r="R33" t="s">
        <v>28</v>
      </c>
    </row>
    <row r="34" spans="1:18" x14ac:dyDescent="0.3">
      <c r="A34" t="s">
        <v>143</v>
      </c>
      <c r="B34" s="1">
        <v>44681</v>
      </c>
      <c r="C34" t="s">
        <v>34</v>
      </c>
      <c r="D34" t="str">
        <f>IF(Table1[[#This Row],[Status]]="Cancelled","Cancelled","Completed")</f>
        <v>Completed</v>
      </c>
      <c r="E34" t="s">
        <v>38</v>
      </c>
      <c r="F34" t="s">
        <v>20</v>
      </c>
      <c r="G34" t="s">
        <v>39</v>
      </c>
      <c r="H34" t="s">
        <v>144</v>
      </c>
      <c r="I34" t="s">
        <v>32</v>
      </c>
      <c r="J34" t="s">
        <v>41</v>
      </c>
      <c r="K34" t="s">
        <v>34</v>
      </c>
      <c r="L34">
        <v>1</v>
      </c>
      <c r="M34">
        <v>376</v>
      </c>
      <c r="N34" t="s">
        <v>62</v>
      </c>
      <c r="O34" t="s">
        <v>63</v>
      </c>
      <c r="P34" t="s">
        <v>27</v>
      </c>
      <c r="Q34" t="b">
        <v>0</v>
      </c>
    </row>
    <row r="35" spans="1:18" x14ac:dyDescent="0.3">
      <c r="A35" t="s">
        <v>145</v>
      </c>
      <c r="B35" s="1">
        <v>44681</v>
      </c>
      <c r="C35" t="s">
        <v>30</v>
      </c>
      <c r="D35" t="str">
        <f>IF(Table1[[#This Row],[Status]]="Cancelled","Cancelled","Completed")</f>
        <v>Completed</v>
      </c>
      <c r="E35" t="s">
        <v>19</v>
      </c>
      <c r="F35" t="s">
        <v>20</v>
      </c>
      <c r="G35" t="s">
        <v>21</v>
      </c>
      <c r="H35" t="s">
        <v>146</v>
      </c>
      <c r="I35" t="s">
        <v>32</v>
      </c>
      <c r="J35" t="s">
        <v>41</v>
      </c>
      <c r="K35" t="s">
        <v>34</v>
      </c>
      <c r="L35">
        <v>1</v>
      </c>
      <c r="M35">
        <v>499</v>
      </c>
      <c r="N35" t="s">
        <v>135</v>
      </c>
      <c r="O35" t="s">
        <v>56</v>
      </c>
      <c r="P35" t="s">
        <v>27</v>
      </c>
      <c r="Q35" t="b">
        <v>0</v>
      </c>
      <c r="R35" t="s">
        <v>28</v>
      </c>
    </row>
    <row r="36" spans="1:18" x14ac:dyDescent="0.3">
      <c r="A36" t="s">
        <v>147</v>
      </c>
      <c r="B36" s="1">
        <v>44681</v>
      </c>
      <c r="C36" t="s">
        <v>34</v>
      </c>
      <c r="D36" t="str">
        <f>IF(Table1[[#This Row],[Status]]="Cancelled","Cancelled","Completed")</f>
        <v>Completed</v>
      </c>
      <c r="E36" t="s">
        <v>38</v>
      </c>
      <c r="F36" t="s">
        <v>20</v>
      </c>
      <c r="G36" t="s">
        <v>39</v>
      </c>
      <c r="H36" t="s">
        <v>148</v>
      </c>
      <c r="I36" t="s">
        <v>23</v>
      </c>
      <c r="J36" t="s">
        <v>46</v>
      </c>
      <c r="K36" t="s">
        <v>34</v>
      </c>
      <c r="L36">
        <v>1</v>
      </c>
      <c r="M36">
        <v>666</v>
      </c>
      <c r="N36" t="s">
        <v>51</v>
      </c>
      <c r="O36" t="s">
        <v>52</v>
      </c>
      <c r="P36" t="s">
        <v>27</v>
      </c>
      <c r="Q36" t="b">
        <v>0</v>
      </c>
    </row>
    <row r="37" spans="1:18" x14ac:dyDescent="0.3">
      <c r="A37" t="s">
        <v>149</v>
      </c>
      <c r="B37" s="1">
        <v>44681</v>
      </c>
      <c r="C37" t="s">
        <v>34</v>
      </c>
      <c r="D37" t="str">
        <f>IF(Table1[[#This Row],[Status]]="Cancelled","Cancelled","Completed")</f>
        <v>Completed</v>
      </c>
      <c r="E37" t="s">
        <v>38</v>
      </c>
      <c r="F37" t="s">
        <v>20</v>
      </c>
      <c r="G37" t="s">
        <v>39</v>
      </c>
      <c r="H37" t="s">
        <v>150</v>
      </c>
      <c r="I37" t="s">
        <v>32</v>
      </c>
      <c r="J37" t="s">
        <v>24</v>
      </c>
      <c r="K37" t="s">
        <v>34</v>
      </c>
      <c r="L37">
        <v>1</v>
      </c>
      <c r="M37">
        <v>487</v>
      </c>
      <c r="N37" t="s">
        <v>92</v>
      </c>
      <c r="O37" t="s">
        <v>93</v>
      </c>
      <c r="P37" t="s">
        <v>27</v>
      </c>
      <c r="Q37" t="b">
        <v>0</v>
      </c>
    </row>
    <row r="38" spans="1:18" x14ac:dyDescent="0.3">
      <c r="A38" t="s">
        <v>149</v>
      </c>
      <c r="B38" s="1">
        <v>44681</v>
      </c>
      <c r="C38" t="s">
        <v>34</v>
      </c>
      <c r="D38" t="str">
        <f>IF(Table1[[#This Row],[Status]]="Cancelled","Cancelled","Completed")</f>
        <v>Completed</v>
      </c>
      <c r="E38" t="s">
        <v>38</v>
      </c>
      <c r="F38" t="s">
        <v>20</v>
      </c>
      <c r="G38" t="s">
        <v>39</v>
      </c>
      <c r="H38" t="s">
        <v>151</v>
      </c>
      <c r="I38" t="s">
        <v>32</v>
      </c>
      <c r="J38" t="s">
        <v>24</v>
      </c>
      <c r="K38" t="s">
        <v>34</v>
      </c>
      <c r="L38">
        <v>1</v>
      </c>
      <c r="M38">
        <v>368</v>
      </c>
      <c r="N38" t="s">
        <v>92</v>
      </c>
      <c r="O38" t="s">
        <v>93</v>
      </c>
      <c r="P38" t="s">
        <v>27</v>
      </c>
      <c r="Q38" t="b">
        <v>0</v>
      </c>
    </row>
    <row r="39" spans="1:18" x14ac:dyDescent="0.3">
      <c r="A39" t="s">
        <v>152</v>
      </c>
      <c r="B39" s="1">
        <v>44681</v>
      </c>
      <c r="C39" t="s">
        <v>34</v>
      </c>
      <c r="D39" t="str">
        <f>IF(Table1[[#This Row],[Status]]="Cancelled","Cancelled","Completed")</f>
        <v>Completed</v>
      </c>
      <c r="E39" t="s">
        <v>38</v>
      </c>
      <c r="F39" t="s">
        <v>20</v>
      </c>
      <c r="G39" t="s">
        <v>39</v>
      </c>
      <c r="H39" t="s">
        <v>153</v>
      </c>
      <c r="I39" t="s">
        <v>32</v>
      </c>
      <c r="J39" t="s">
        <v>46</v>
      </c>
      <c r="K39" t="s">
        <v>34</v>
      </c>
      <c r="L39">
        <v>1</v>
      </c>
      <c r="M39">
        <v>399</v>
      </c>
      <c r="N39" t="s">
        <v>154</v>
      </c>
      <c r="O39" t="s">
        <v>155</v>
      </c>
      <c r="P39" t="s">
        <v>27</v>
      </c>
      <c r="Q39" t="b">
        <v>0</v>
      </c>
    </row>
    <row r="40" spans="1:18" x14ac:dyDescent="0.3">
      <c r="A40" t="s">
        <v>156</v>
      </c>
      <c r="B40" s="1">
        <v>44681</v>
      </c>
      <c r="C40" t="s">
        <v>34</v>
      </c>
      <c r="D40" t="str">
        <f>IF(Table1[[#This Row],[Status]]="Cancelled","Cancelled","Completed")</f>
        <v>Completed</v>
      </c>
      <c r="E40" t="s">
        <v>38</v>
      </c>
      <c r="F40" t="s">
        <v>20</v>
      </c>
      <c r="G40" t="s">
        <v>39</v>
      </c>
      <c r="H40" t="s">
        <v>157</v>
      </c>
      <c r="I40" t="s">
        <v>158</v>
      </c>
      <c r="J40" t="s">
        <v>66</v>
      </c>
      <c r="K40" t="s">
        <v>34</v>
      </c>
      <c r="L40">
        <v>1</v>
      </c>
      <c r="M40">
        <v>699</v>
      </c>
      <c r="N40" t="s">
        <v>159</v>
      </c>
      <c r="O40" t="s">
        <v>56</v>
      </c>
      <c r="P40" t="s">
        <v>27</v>
      </c>
      <c r="Q40" t="b">
        <v>0</v>
      </c>
    </row>
    <row r="41" spans="1:18" x14ac:dyDescent="0.3">
      <c r="A41" t="s">
        <v>160</v>
      </c>
      <c r="B41" s="1">
        <v>44681</v>
      </c>
      <c r="C41" t="s">
        <v>34</v>
      </c>
      <c r="D41" t="str">
        <f>IF(Table1[[#This Row],[Status]]="Cancelled","Cancelled","Completed")</f>
        <v>Completed</v>
      </c>
      <c r="E41" t="s">
        <v>38</v>
      </c>
      <c r="F41" t="s">
        <v>20</v>
      </c>
      <c r="G41" t="s">
        <v>39</v>
      </c>
      <c r="H41" t="s">
        <v>161</v>
      </c>
      <c r="I41" t="s">
        <v>45</v>
      </c>
      <c r="J41" t="s">
        <v>33</v>
      </c>
      <c r="K41" t="s">
        <v>34</v>
      </c>
      <c r="L41">
        <v>1</v>
      </c>
      <c r="M41">
        <v>885</v>
      </c>
      <c r="N41" t="s">
        <v>162</v>
      </c>
      <c r="O41" t="s">
        <v>163</v>
      </c>
      <c r="P41" t="s">
        <v>27</v>
      </c>
      <c r="Q41" t="b">
        <v>0</v>
      </c>
    </row>
    <row r="42" spans="1:18" x14ac:dyDescent="0.3">
      <c r="A42" t="s">
        <v>164</v>
      </c>
      <c r="B42" s="1">
        <v>44681</v>
      </c>
      <c r="C42" t="s">
        <v>30</v>
      </c>
      <c r="D42" t="str">
        <f>IF(Table1[[#This Row],[Status]]="Cancelled","Cancelled","Completed")</f>
        <v>Completed</v>
      </c>
      <c r="E42" t="s">
        <v>19</v>
      </c>
      <c r="F42" t="s">
        <v>20</v>
      </c>
      <c r="G42" t="s">
        <v>21</v>
      </c>
      <c r="H42" t="s">
        <v>165</v>
      </c>
      <c r="I42" t="s">
        <v>32</v>
      </c>
      <c r="J42" t="s">
        <v>105</v>
      </c>
      <c r="K42" t="s">
        <v>34</v>
      </c>
      <c r="L42">
        <v>1</v>
      </c>
      <c r="M42">
        <v>424</v>
      </c>
      <c r="N42" t="s">
        <v>25</v>
      </c>
      <c r="O42" t="s">
        <v>26</v>
      </c>
      <c r="P42" t="s">
        <v>27</v>
      </c>
      <c r="Q42" t="b">
        <v>0</v>
      </c>
      <c r="R42" t="s">
        <v>28</v>
      </c>
    </row>
    <row r="43" spans="1:18" x14ac:dyDescent="0.3">
      <c r="A43" t="s">
        <v>166</v>
      </c>
      <c r="B43" s="1">
        <v>44681</v>
      </c>
      <c r="C43" t="s">
        <v>34</v>
      </c>
      <c r="D43" t="str">
        <f>IF(Table1[[#This Row],[Status]]="Cancelled","Cancelled","Completed")</f>
        <v>Completed</v>
      </c>
      <c r="E43" t="s">
        <v>38</v>
      </c>
      <c r="F43" t="s">
        <v>20</v>
      </c>
      <c r="G43" t="s">
        <v>39</v>
      </c>
      <c r="H43" t="s">
        <v>167</v>
      </c>
      <c r="I43" t="s">
        <v>23</v>
      </c>
      <c r="J43" t="s">
        <v>105</v>
      </c>
      <c r="K43" t="s">
        <v>34</v>
      </c>
      <c r="L43">
        <v>1</v>
      </c>
      <c r="M43">
        <v>1126</v>
      </c>
      <c r="N43" t="s">
        <v>135</v>
      </c>
      <c r="O43" t="s">
        <v>56</v>
      </c>
      <c r="P43" t="s">
        <v>27</v>
      </c>
      <c r="Q43" t="b">
        <v>0</v>
      </c>
    </row>
    <row r="44" spans="1:18" x14ac:dyDescent="0.3">
      <c r="A44" t="s">
        <v>168</v>
      </c>
      <c r="B44" s="1">
        <v>44681</v>
      </c>
      <c r="C44" t="s">
        <v>34</v>
      </c>
      <c r="D44" t="str">
        <f>IF(Table1[[#This Row],[Status]]="Cancelled","Cancelled","Completed")</f>
        <v>Completed</v>
      </c>
      <c r="E44" t="s">
        <v>38</v>
      </c>
      <c r="F44" t="s">
        <v>20</v>
      </c>
      <c r="G44" t="s">
        <v>39</v>
      </c>
      <c r="H44" t="s">
        <v>169</v>
      </c>
      <c r="I44" t="s">
        <v>23</v>
      </c>
      <c r="J44" t="s">
        <v>46</v>
      </c>
      <c r="K44" t="s">
        <v>34</v>
      </c>
      <c r="L44">
        <v>1</v>
      </c>
      <c r="M44">
        <v>788</v>
      </c>
      <c r="N44" t="s">
        <v>25</v>
      </c>
      <c r="O44" t="s">
        <v>26</v>
      </c>
      <c r="P44" t="s">
        <v>27</v>
      </c>
      <c r="Q44" t="b">
        <v>0</v>
      </c>
    </row>
    <row r="45" spans="1:18" x14ac:dyDescent="0.3">
      <c r="A45" t="s">
        <v>170</v>
      </c>
      <c r="B45" s="1">
        <v>44681</v>
      </c>
      <c r="C45" t="s">
        <v>34</v>
      </c>
      <c r="D45" t="str">
        <f>IF(Table1[[#This Row],[Status]]="Cancelled","Cancelled","Completed")</f>
        <v>Completed</v>
      </c>
      <c r="E45" t="s">
        <v>38</v>
      </c>
      <c r="F45" t="s">
        <v>20</v>
      </c>
      <c r="G45" t="s">
        <v>39</v>
      </c>
      <c r="H45" t="s">
        <v>171</v>
      </c>
      <c r="I45" t="s">
        <v>23</v>
      </c>
      <c r="J45" t="s">
        <v>24</v>
      </c>
      <c r="K45" t="s">
        <v>34</v>
      </c>
      <c r="L45">
        <v>1</v>
      </c>
      <c r="M45">
        <v>759</v>
      </c>
      <c r="N45" t="s">
        <v>172</v>
      </c>
      <c r="O45" t="s">
        <v>173</v>
      </c>
      <c r="P45" t="s">
        <v>27</v>
      </c>
      <c r="Q45" t="b">
        <v>0</v>
      </c>
    </row>
    <row r="46" spans="1:18" x14ac:dyDescent="0.3">
      <c r="A46" t="s">
        <v>174</v>
      </c>
      <c r="B46" s="1">
        <v>44681</v>
      </c>
      <c r="C46" t="s">
        <v>34</v>
      </c>
      <c r="D46" t="str">
        <f>IF(Table1[[#This Row],[Status]]="Cancelled","Cancelled","Completed")</f>
        <v>Completed</v>
      </c>
      <c r="E46" t="s">
        <v>38</v>
      </c>
      <c r="F46" t="s">
        <v>20</v>
      </c>
      <c r="G46" t="s">
        <v>39</v>
      </c>
      <c r="H46" t="s">
        <v>175</v>
      </c>
      <c r="I46" t="s">
        <v>23</v>
      </c>
      <c r="J46" t="s">
        <v>46</v>
      </c>
      <c r="K46" t="s">
        <v>34</v>
      </c>
      <c r="L46">
        <v>1</v>
      </c>
      <c r="M46">
        <v>1146</v>
      </c>
      <c r="N46" t="s">
        <v>176</v>
      </c>
      <c r="O46" t="s">
        <v>85</v>
      </c>
      <c r="P46" t="s">
        <v>27</v>
      </c>
      <c r="Q46" t="b">
        <v>0</v>
      </c>
    </row>
    <row r="47" spans="1:18" x14ac:dyDescent="0.3">
      <c r="A47" t="s">
        <v>177</v>
      </c>
      <c r="B47" s="1">
        <v>44681</v>
      </c>
      <c r="C47" t="s">
        <v>34</v>
      </c>
      <c r="D47" t="str">
        <f>IF(Table1[[#This Row],[Status]]="Cancelled","Cancelled","Completed")</f>
        <v>Completed</v>
      </c>
      <c r="E47" t="s">
        <v>38</v>
      </c>
      <c r="F47" t="s">
        <v>20</v>
      </c>
      <c r="G47" t="s">
        <v>39</v>
      </c>
      <c r="H47" t="s">
        <v>178</v>
      </c>
      <c r="I47" t="s">
        <v>50</v>
      </c>
      <c r="J47" t="s">
        <v>24</v>
      </c>
      <c r="K47" t="s">
        <v>34</v>
      </c>
      <c r="L47">
        <v>1</v>
      </c>
      <c r="M47">
        <v>665</v>
      </c>
      <c r="N47" t="s">
        <v>179</v>
      </c>
      <c r="O47" t="s">
        <v>63</v>
      </c>
      <c r="P47" t="s">
        <v>27</v>
      </c>
      <c r="Q47" t="b">
        <v>0</v>
      </c>
    </row>
    <row r="48" spans="1:18" x14ac:dyDescent="0.3">
      <c r="A48" t="s">
        <v>180</v>
      </c>
      <c r="B48" s="1">
        <v>44681</v>
      </c>
      <c r="C48" t="s">
        <v>34</v>
      </c>
      <c r="D48" t="str">
        <f>IF(Table1[[#This Row],[Status]]="Cancelled","Cancelled","Completed")</f>
        <v>Completed</v>
      </c>
      <c r="E48" t="s">
        <v>38</v>
      </c>
      <c r="F48" t="s">
        <v>20</v>
      </c>
      <c r="G48" t="s">
        <v>39</v>
      </c>
      <c r="H48" t="s">
        <v>181</v>
      </c>
      <c r="I48" t="s">
        <v>32</v>
      </c>
      <c r="J48" t="s">
        <v>24</v>
      </c>
      <c r="K48" t="s">
        <v>34</v>
      </c>
      <c r="L48">
        <v>1</v>
      </c>
      <c r="M48">
        <v>429</v>
      </c>
      <c r="N48" t="s">
        <v>62</v>
      </c>
      <c r="O48" t="s">
        <v>63</v>
      </c>
      <c r="P48" t="s">
        <v>27</v>
      </c>
      <c r="Q48" t="b">
        <v>0</v>
      </c>
    </row>
    <row r="49" spans="1:18" x14ac:dyDescent="0.3">
      <c r="A49" t="s">
        <v>182</v>
      </c>
      <c r="B49" s="1">
        <v>44681</v>
      </c>
      <c r="C49" t="s">
        <v>30</v>
      </c>
      <c r="D49" t="str">
        <f>IF(Table1[[#This Row],[Status]]="Cancelled","Cancelled","Completed")</f>
        <v>Completed</v>
      </c>
      <c r="E49" t="s">
        <v>19</v>
      </c>
      <c r="F49" t="s">
        <v>20</v>
      </c>
      <c r="G49" t="s">
        <v>21</v>
      </c>
      <c r="H49" t="s">
        <v>183</v>
      </c>
      <c r="I49" t="s">
        <v>32</v>
      </c>
      <c r="J49" t="s">
        <v>105</v>
      </c>
      <c r="K49" t="s">
        <v>34</v>
      </c>
      <c r="L49">
        <v>1</v>
      </c>
      <c r="M49">
        <v>399</v>
      </c>
      <c r="N49" t="s">
        <v>184</v>
      </c>
      <c r="O49" t="s">
        <v>56</v>
      </c>
      <c r="P49" t="s">
        <v>27</v>
      </c>
      <c r="Q49" t="b">
        <v>0</v>
      </c>
      <c r="R49" t="s">
        <v>28</v>
      </c>
    </row>
    <row r="50" spans="1:18" x14ac:dyDescent="0.3">
      <c r="A50" t="s">
        <v>185</v>
      </c>
      <c r="B50" s="1">
        <v>44681</v>
      </c>
      <c r="C50" t="s">
        <v>34</v>
      </c>
      <c r="D50" t="str">
        <f>IF(Table1[[#This Row],[Status]]="Cancelled","Cancelled","Completed")</f>
        <v>Completed</v>
      </c>
      <c r="E50" t="s">
        <v>38</v>
      </c>
      <c r="F50" t="s">
        <v>20</v>
      </c>
      <c r="G50" t="s">
        <v>39</v>
      </c>
      <c r="H50" t="s">
        <v>186</v>
      </c>
      <c r="I50" t="s">
        <v>23</v>
      </c>
      <c r="J50" t="s">
        <v>24</v>
      </c>
      <c r="K50" t="s">
        <v>34</v>
      </c>
      <c r="L50">
        <v>1</v>
      </c>
      <c r="M50">
        <v>848</v>
      </c>
      <c r="N50" t="s">
        <v>187</v>
      </c>
      <c r="O50" t="s">
        <v>142</v>
      </c>
      <c r="P50" t="s">
        <v>27</v>
      </c>
      <c r="Q50" t="b">
        <v>0</v>
      </c>
    </row>
    <row r="51" spans="1:18" x14ac:dyDescent="0.3">
      <c r="A51" t="s">
        <v>188</v>
      </c>
      <c r="B51" s="1">
        <v>44681</v>
      </c>
      <c r="C51" t="s">
        <v>34</v>
      </c>
      <c r="D51" t="str">
        <f>IF(Table1[[#This Row],[Status]]="Cancelled","Cancelled","Completed")</f>
        <v>Completed</v>
      </c>
      <c r="E51" t="s">
        <v>38</v>
      </c>
      <c r="F51" t="s">
        <v>20</v>
      </c>
      <c r="G51" t="s">
        <v>39</v>
      </c>
      <c r="H51" t="s">
        <v>189</v>
      </c>
      <c r="I51" t="s">
        <v>23</v>
      </c>
      <c r="J51" t="s">
        <v>105</v>
      </c>
      <c r="K51" t="s">
        <v>34</v>
      </c>
      <c r="L51">
        <v>1</v>
      </c>
      <c r="M51">
        <v>654</v>
      </c>
      <c r="N51" t="s">
        <v>190</v>
      </c>
      <c r="O51" t="s">
        <v>26</v>
      </c>
      <c r="P51" t="s">
        <v>27</v>
      </c>
      <c r="Q51" t="b">
        <v>0</v>
      </c>
    </row>
    <row r="52" spans="1:18" x14ac:dyDescent="0.3">
      <c r="A52" t="s">
        <v>191</v>
      </c>
      <c r="B52" s="1">
        <v>44681</v>
      </c>
      <c r="C52" t="s">
        <v>34</v>
      </c>
      <c r="D52" t="str">
        <f>IF(Table1[[#This Row],[Status]]="Cancelled","Cancelled","Completed")</f>
        <v>Completed</v>
      </c>
      <c r="E52" t="s">
        <v>38</v>
      </c>
      <c r="F52" t="s">
        <v>20</v>
      </c>
      <c r="G52" t="s">
        <v>39</v>
      </c>
      <c r="H52" t="s">
        <v>192</v>
      </c>
      <c r="I52" t="s">
        <v>23</v>
      </c>
      <c r="J52" t="s">
        <v>105</v>
      </c>
      <c r="K52" t="s">
        <v>34</v>
      </c>
      <c r="L52">
        <v>1</v>
      </c>
      <c r="M52">
        <v>1033</v>
      </c>
      <c r="N52" t="s">
        <v>193</v>
      </c>
      <c r="O52" t="s">
        <v>194</v>
      </c>
      <c r="P52" t="s">
        <v>27</v>
      </c>
      <c r="Q52" t="b">
        <v>0</v>
      </c>
    </row>
    <row r="53" spans="1:18" x14ac:dyDescent="0.3">
      <c r="A53" t="s">
        <v>195</v>
      </c>
      <c r="B53" s="1">
        <v>44681</v>
      </c>
      <c r="C53" t="s">
        <v>34</v>
      </c>
      <c r="D53" t="str">
        <f>IF(Table1[[#This Row],[Status]]="Cancelled","Cancelled","Completed")</f>
        <v>Completed</v>
      </c>
      <c r="E53" t="s">
        <v>38</v>
      </c>
      <c r="F53" t="s">
        <v>20</v>
      </c>
      <c r="G53" t="s">
        <v>39</v>
      </c>
      <c r="H53" t="s">
        <v>196</v>
      </c>
      <c r="I53" t="s">
        <v>32</v>
      </c>
      <c r="J53" t="s">
        <v>41</v>
      </c>
      <c r="K53" t="s">
        <v>34</v>
      </c>
      <c r="L53">
        <v>1</v>
      </c>
      <c r="M53">
        <v>390</v>
      </c>
      <c r="N53" t="s">
        <v>35</v>
      </c>
      <c r="O53" t="s">
        <v>36</v>
      </c>
      <c r="P53" t="s">
        <v>27</v>
      </c>
      <c r="Q53" t="b">
        <v>0</v>
      </c>
    </row>
    <row r="54" spans="1:18" x14ac:dyDescent="0.3">
      <c r="A54" t="s">
        <v>197</v>
      </c>
      <c r="B54" s="1">
        <v>44681</v>
      </c>
      <c r="C54" t="s">
        <v>34</v>
      </c>
      <c r="D54" t="str">
        <f>IF(Table1[[#This Row],[Status]]="Cancelled","Cancelled","Completed")</f>
        <v>Completed</v>
      </c>
      <c r="E54" t="s">
        <v>38</v>
      </c>
      <c r="F54" t="s">
        <v>20</v>
      </c>
      <c r="G54" t="s">
        <v>39</v>
      </c>
      <c r="H54" t="s">
        <v>198</v>
      </c>
      <c r="I54" t="s">
        <v>50</v>
      </c>
      <c r="J54" t="s">
        <v>46</v>
      </c>
      <c r="K54" t="s">
        <v>34</v>
      </c>
      <c r="L54">
        <v>1</v>
      </c>
      <c r="M54">
        <v>493</v>
      </c>
      <c r="N54" t="s">
        <v>35</v>
      </c>
      <c r="O54" t="s">
        <v>36</v>
      </c>
      <c r="P54" t="s">
        <v>27</v>
      </c>
      <c r="Q54" t="b">
        <v>0</v>
      </c>
    </row>
    <row r="55" spans="1:18" x14ac:dyDescent="0.3">
      <c r="A55" t="s">
        <v>199</v>
      </c>
      <c r="B55" s="1">
        <v>44681</v>
      </c>
      <c r="C55" t="s">
        <v>34</v>
      </c>
      <c r="D55" t="str">
        <f>IF(Table1[[#This Row],[Status]]="Cancelled","Cancelled","Completed")</f>
        <v>Completed</v>
      </c>
      <c r="E55" t="s">
        <v>38</v>
      </c>
      <c r="F55" t="s">
        <v>20</v>
      </c>
      <c r="G55" t="s">
        <v>39</v>
      </c>
      <c r="H55" t="s">
        <v>200</v>
      </c>
      <c r="I55" t="s">
        <v>45</v>
      </c>
      <c r="J55" t="s">
        <v>24</v>
      </c>
      <c r="K55" t="s">
        <v>34</v>
      </c>
      <c r="L55">
        <v>1</v>
      </c>
      <c r="M55">
        <v>721</v>
      </c>
      <c r="N55" t="s">
        <v>201</v>
      </c>
      <c r="O55" t="s">
        <v>63</v>
      </c>
      <c r="P55" t="s">
        <v>27</v>
      </c>
      <c r="Q55" t="b">
        <v>0</v>
      </c>
    </row>
    <row r="56" spans="1:18" x14ac:dyDescent="0.3">
      <c r="A56" t="s">
        <v>202</v>
      </c>
      <c r="B56" s="1">
        <v>44681</v>
      </c>
      <c r="C56" t="s">
        <v>34</v>
      </c>
      <c r="D56" t="str">
        <f>IF(Table1[[#This Row],[Status]]="Cancelled","Cancelled","Completed")</f>
        <v>Completed</v>
      </c>
      <c r="E56" t="s">
        <v>38</v>
      </c>
      <c r="F56" t="s">
        <v>20</v>
      </c>
      <c r="G56" t="s">
        <v>39</v>
      </c>
      <c r="H56" t="s">
        <v>203</v>
      </c>
      <c r="I56" t="s">
        <v>23</v>
      </c>
      <c r="J56" t="s">
        <v>72</v>
      </c>
      <c r="K56" t="s">
        <v>34</v>
      </c>
      <c r="L56">
        <v>1</v>
      </c>
      <c r="M56">
        <v>597</v>
      </c>
      <c r="N56" t="s">
        <v>204</v>
      </c>
      <c r="O56" t="s">
        <v>89</v>
      </c>
      <c r="P56" t="s">
        <v>27</v>
      </c>
      <c r="Q56" t="b">
        <v>0</v>
      </c>
    </row>
    <row r="57" spans="1:18" x14ac:dyDescent="0.3">
      <c r="A57" t="s">
        <v>205</v>
      </c>
      <c r="B57" s="1">
        <v>44681</v>
      </c>
      <c r="C57" t="s">
        <v>34</v>
      </c>
      <c r="D57" t="str">
        <f>IF(Table1[[#This Row],[Status]]="Cancelled","Cancelled","Completed")</f>
        <v>Completed</v>
      </c>
      <c r="E57" t="s">
        <v>38</v>
      </c>
      <c r="F57" t="s">
        <v>20</v>
      </c>
      <c r="G57" t="s">
        <v>39</v>
      </c>
      <c r="H57" t="s">
        <v>153</v>
      </c>
      <c r="I57" t="s">
        <v>32</v>
      </c>
      <c r="J57" t="s">
        <v>46</v>
      </c>
      <c r="K57" t="s">
        <v>34</v>
      </c>
      <c r="L57">
        <v>1</v>
      </c>
      <c r="M57">
        <v>399</v>
      </c>
      <c r="N57" t="s">
        <v>129</v>
      </c>
      <c r="O57" t="s">
        <v>114</v>
      </c>
      <c r="P57" t="s">
        <v>27</v>
      </c>
      <c r="Q57" t="b">
        <v>0</v>
      </c>
    </row>
    <row r="58" spans="1:18" x14ac:dyDescent="0.3">
      <c r="A58" t="s">
        <v>206</v>
      </c>
      <c r="B58" s="1">
        <v>44681</v>
      </c>
      <c r="C58" t="s">
        <v>34</v>
      </c>
      <c r="D58" t="str">
        <f>IF(Table1[[#This Row],[Status]]="Cancelled","Cancelled","Completed")</f>
        <v>Completed</v>
      </c>
      <c r="E58" t="s">
        <v>38</v>
      </c>
      <c r="F58" t="s">
        <v>20</v>
      </c>
      <c r="G58" t="s">
        <v>39</v>
      </c>
      <c r="H58" t="s">
        <v>207</v>
      </c>
      <c r="I58" t="s">
        <v>23</v>
      </c>
      <c r="J58" t="s">
        <v>24</v>
      </c>
      <c r="K58" t="s">
        <v>34</v>
      </c>
      <c r="L58">
        <v>1</v>
      </c>
      <c r="M58">
        <v>888</v>
      </c>
      <c r="N58" t="s">
        <v>208</v>
      </c>
      <c r="O58" t="s">
        <v>36</v>
      </c>
      <c r="P58" t="s">
        <v>27</v>
      </c>
      <c r="Q58" t="b">
        <v>0</v>
      </c>
    </row>
    <row r="59" spans="1:18" x14ac:dyDescent="0.3">
      <c r="A59" t="s">
        <v>209</v>
      </c>
      <c r="B59" s="1">
        <v>44681</v>
      </c>
      <c r="C59" t="s">
        <v>34</v>
      </c>
      <c r="D59" t="str">
        <f>IF(Table1[[#This Row],[Status]]="Cancelled","Cancelled","Completed")</f>
        <v>Completed</v>
      </c>
      <c r="E59" t="s">
        <v>38</v>
      </c>
      <c r="F59" t="s">
        <v>20</v>
      </c>
      <c r="G59" t="s">
        <v>39</v>
      </c>
      <c r="H59" t="s">
        <v>210</v>
      </c>
      <c r="I59" t="s">
        <v>32</v>
      </c>
      <c r="J59" t="s">
        <v>66</v>
      </c>
      <c r="K59" t="s">
        <v>34</v>
      </c>
      <c r="L59">
        <v>1</v>
      </c>
      <c r="M59">
        <v>353</v>
      </c>
      <c r="N59" t="s">
        <v>62</v>
      </c>
      <c r="O59" t="s">
        <v>63</v>
      </c>
      <c r="P59" t="s">
        <v>27</v>
      </c>
      <c r="Q59" t="b">
        <v>0</v>
      </c>
    </row>
    <row r="60" spans="1:18" x14ac:dyDescent="0.3">
      <c r="A60" t="s">
        <v>211</v>
      </c>
      <c r="B60" s="1">
        <v>44681</v>
      </c>
      <c r="C60" t="s">
        <v>30</v>
      </c>
      <c r="D60" t="str">
        <f>IF(Table1[[#This Row],[Status]]="Cancelled","Cancelled","Completed")</f>
        <v>Completed</v>
      </c>
      <c r="E60" t="s">
        <v>19</v>
      </c>
      <c r="F60" t="s">
        <v>20</v>
      </c>
      <c r="G60" t="s">
        <v>21</v>
      </c>
      <c r="H60" t="s">
        <v>212</v>
      </c>
      <c r="I60" t="s">
        <v>23</v>
      </c>
      <c r="J60" t="s">
        <v>41</v>
      </c>
      <c r="K60" t="s">
        <v>34</v>
      </c>
      <c r="L60">
        <v>1</v>
      </c>
      <c r="M60">
        <v>599</v>
      </c>
      <c r="N60" t="s">
        <v>35</v>
      </c>
      <c r="O60" t="s">
        <v>36</v>
      </c>
      <c r="P60" t="s">
        <v>27</v>
      </c>
      <c r="Q60" t="b">
        <v>0</v>
      </c>
      <c r="R60" t="s">
        <v>28</v>
      </c>
    </row>
    <row r="61" spans="1:18" x14ac:dyDescent="0.3">
      <c r="A61" t="s">
        <v>213</v>
      </c>
      <c r="B61" s="1">
        <v>44681</v>
      </c>
      <c r="C61" t="s">
        <v>34</v>
      </c>
      <c r="D61" t="str">
        <f>IF(Table1[[#This Row],[Status]]="Cancelled","Cancelled","Completed")</f>
        <v>Completed</v>
      </c>
      <c r="E61" t="s">
        <v>38</v>
      </c>
      <c r="F61" t="s">
        <v>20</v>
      </c>
      <c r="G61" t="s">
        <v>39</v>
      </c>
      <c r="H61" t="s">
        <v>214</v>
      </c>
      <c r="I61" t="s">
        <v>32</v>
      </c>
      <c r="J61" t="s">
        <v>105</v>
      </c>
      <c r="K61" t="s">
        <v>34</v>
      </c>
      <c r="L61">
        <v>1</v>
      </c>
      <c r="M61">
        <v>518</v>
      </c>
      <c r="N61" t="s">
        <v>215</v>
      </c>
      <c r="O61" t="s">
        <v>26</v>
      </c>
      <c r="P61" t="s">
        <v>27</v>
      </c>
      <c r="Q61" t="b">
        <v>0</v>
      </c>
    </row>
    <row r="62" spans="1:18" x14ac:dyDescent="0.3">
      <c r="A62" t="s">
        <v>213</v>
      </c>
      <c r="B62" s="1">
        <v>44681</v>
      </c>
      <c r="C62" t="s">
        <v>34</v>
      </c>
      <c r="D62" t="str">
        <f>IF(Table1[[#This Row],[Status]]="Cancelled","Cancelled","Completed")</f>
        <v>Completed</v>
      </c>
      <c r="E62" t="s">
        <v>38</v>
      </c>
      <c r="F62" t="s">
        <v>20</v>
      </c>
      <c r="G62" t="s">
        <v>39</v>
      </c>
      <c r="H62" t="s">
        <v>216</v>
      </c>
      <c r="I62" t="s">
        <v>32</v>
      </c>
      <c r="J62" t="s">
        <v>105</v>
      </c>
      <c r="K62" t="s">
        <v>34</v>
      </c>
      <c r="L62">
        <v>1</v>
      </c>
      <c r="M62">
        <v>295</v>
      </c>
      <c r="N62" t="s">
        <v>215</v>
      </c>
      <c r="O62" t="s">
        <v>26</v>
      </c>
      <c r="P62" t="s">
        <v>27</v>
      </c>
      <c r="Q62" t="b">
        <v>0</v>
      </c>
    </row>
    <row r="63" spans="1:18" x14ac:dyDescent="0.3">
      <c r="A63" t="s">
        <v>217</v>
      </c>
      <c r="B63" s="1">
        <v>44681</v>
      </c>
      <c r="C63" t="s">
        <v>34</v>
      </c>
      <c r="D63" t="str">
        <f>IF(Table1[[#This Row],[Status]]="Cancelled","Cancelled","Completed")</f>
        <v>Completed</v>
      </c>
      <c r="E63" t="s">
        <v>38</v>
      </c>
      <c r="F63" t="s">
        <v>20</v>
      </c>
      <c r="G63" t="s">
        <v>39</v>
      </c>
      <c r="H63" t="s">
        <v>218</v>
      </c>
      <c r="I63" t="s">
        <v>23</v>
      </c>
      <c r="J63" t="s">
        <v>72</v>
      </c>
      <c r="K63" t="s">
        <v>34</v>
      </c>
      <c r="L63">
        <v>1</v>
      </c>
      <c r="M63">
        <v>852</v>
      </c>
      <c r="N63" t="s">
        <v>159</v>
      </c>
      <c r="O63" t="s">
        <v>56</v>
      </c>
      <c r="P63" t="s">
        <v>27</v>
      </c>
      <c r="Q63" t="b">
        <v>0</v>
      </c>
    </row>
    <row r="64" spans="1:18" x14ac:dyDescent="0.3">
      <c r="A64" t="s">
        <v>219</v>
      </c>
      <c r="B64" s="1">
        <v>44681</v>
      </c>
      <c r="C64" t="s">
        <v>34</v>
      </c>
      <c r="D64" t="str">
        <f>IF(Table1[[#This Row],[Status]]="Cancelled","Cancelled","Completed")</f>
        <v>Completed</v>
      </c>
      <c r="E64" t="s">
        <v>38</v>
      </c>
      <c r="F64" t="s">
        <v>20</v>
      </c>
      <c r="G64" t="s">
        <v>39</v>
      </c>
      <c r="H64" t="s">
        <v>220</v>
      </c>
      <c r="I64" t="s">
        <v>23</v>
      </c>
      <c r="J64" t="s">
        <v>105</v>
      </c>
      <c r="K64" t="s">
        <v>34</v>
      </c>
      <c r="L64">
        <v>1</v>
      </c>
      <c r="M64">
        <v>824</v>
      </c>
      <c r="N64" t="s">
        <v>221</v>
      </c>
      <c r="O64" t="s">
        <v>26</v>
      </c>
      <c r="P64" t="s">
        <v>27</v>
      </c>
      <c r="Q64" t="b">
        <v>0</v>
      </c>
    </row>
    <row r="65" spans="1:18" x14ac:dyDescent="0.3">
      <c r="A65" t="s">
        <v>223</v>
      </c>
      <c r="B65" s="1">
        <v>44681</v>
      </c>
      <c r="C65" t="s">
        <v>34</v>
      </c>
      <c r="D65" t="str">
        <f>IF(Table1[[#This Row],[Status]]="Cancelled","Cancelled","Completed")</f>
        <v>Completed</v>
      </c>
      <c r="E65" t="s">
        <v>38</v>
      </c>
      <c r="F65" t="s">
        <v>20</v>
      </c>
      <c r="G65" t="s">
        <v>39</v>
      </c>
      <c r="H65" t="s">
        <v>224</v>
      </c>
      <c r="I65" t="s">
        <v>23</v>
      </c>
      <c r="J65" t="s">
        <v>66</v>
      </c>
      <c r="K65" t="s">
        <v>34</v>
      </c>
      <c r="L65">
        <v>1</v>
      </c>
      <c r="M65">
        <v>909</v>
      </c>
      <c r="N65" t="s">
        <v>117</v>
      </c>
      <c r="O65" t="s">
        <v>118</v>
      </c>
      <c r="P65" t="s">
        <v>27</v>
      </c>
      <c r="Q65" t="b">
        <v>0</v>
      </c>
    </row>
    <row r="66" spans="1:18" x14ac:dyDescent="0.3">
      <c r="A66" t="s">
        <v>225</v>
      </c>
      <c r="B66" s="1">
        <v>44681</v>
      </c>
      <c r="C66" t="s">
        <v>34</v>
      </c>
      <c r="D66" t="str">
        <f>IF(Table1[[#This Row],[Status]]="Cancelled","Cancelled","Completed")</f>
        <v>Completed</v>
      </c>
      <c r="E66" t="s">
        <v>38</v>
      </c>
      <c r="F66" t="s">
        <v>20</v>
      </c>
      <c r="G66" t="s">
        <v>39</v>
      </c>
      <c r="H66" t="s">
        <v>226</v>
      </c>
      <c r="I66" t="s">
        <v>50</v>
      </c>
      <c r="J66" t="s">
        <v>46</v>
      </c>
      <c r="K66" t="s">
        <v>34</v>
      </c>
      <c r="L66">
        <v>1</v>
      </c>
      <c r="M66">
        <v>432</v>
      </c>
      <c r="N66" t="s">
        <v>126</v>
      </c>
      <c r="O66" t="s">
        <v>26</v>
      </c>
      <c r="P66" t="s">
        <v>27</v>
      </c>
      <c r="Q66" t="b">
        <v>0</v>
      </c>
    </row>
    <row r="67" spans="1:18" x14ac:dyDescent="0.3">
      <c r="A67" t="s">
        <v>227</v>
      </c>
      <c r="B67" s="1">
        <v>44681</v>
      </c>
      <c r="C67" t="s">
        <v>34</v>
      </c>
      <c r="D67" t="str">
        <f>IF(Table1[[#This Row],[Status]]="Cancelled","Cancelled","Completed")</f>
        <v>Completed</v>
      </c>
      <c r="E67" t="s">
        <v>38</v>
      </c>
      <c r="F67" t="s">
        <v>20</v>
      </c>
      <c r="G67" t="s">
        <v>39</v>
      </c>
      <c r="H67" t="s">
        <v>228</v>
      </c>
      <c r="I67" t="s">
        <v>23</v>
      </c>
      <c r="J67" t="s">
        <v>46</v>
      </c>
      <c r="K67" t="s">
        <v>34</v>
      </c>
      <c r="L67">
        <v>1</v>
      </c>
      <c r="M67">
        <v>545</v>
      </c>
      <c r="N67" t="s">
        <v>35</v>
      </c>
      <c r="O67" t="s">
        <v>36</v>
      </c>
      <c r="P67" t="s">
        <v>27</v>
      </c>
      <c r="Q67" t="b">
        <v>0</v>
      </c>
    </row>
    <row r="68" spans="1:18" x14ac:dyDescent="0.3">
      <c r="A68" t="s">
        <v>229</v>
      </c>
      <c r="B68" s="1">
        <v>44681</v>
      </c>
      <c r="C68" t="s">
        <v>34</v>
      </c>
      <c r="D68" t="str">
        <f>IF(Table1[[#This Row],[Status]]="Cancelled","Cancelled","Completed")</f>
        <v>Completed</v>
      </c>
      <c r="E68" t="s">
        <v>38</v>
      </c>
      <c r="F68" t="s">
        <v>20</v>
      </c>
      <c r="G68" t="s">
        <v>39</v>
      </c>
      <c r="H68" t="s">
        <v>230</v>
      </c>
      <c r="I68" t="s">
        <v>23</v>
      </c>
      <c r="J68" t="s">
        <v>33</v>
      </c>
      <c r="K68" t="s">
        <v>34</v>
      </c>
      <c r="L68">
        <v>1</v>
      </c>
      <c r="M68">
        <v>1146</v>
      </c>
      <c r="N68" t="s">
        <v>231</v>
      </c>
      <c r="O68" t="s">
        <v>36</v>
      </c>
      <c r="P68" t="s">
        <v>27</v>
      </c>
      <c r="Q68" t="b">
        <v>0</v>
      </c>
    </row>
    <row r="69" spans="1:18" x14ac:dyDescent="0.3">
      <c r="A69" t="s">
        <v>232</v>
      </c>
      <c r="B69" s="1">
        <v>44681</v>
      </c>
      <c r="C69" t="s">
        <v>30</v>
      </c>
      <c r="D69" t="str">
        <f>IF(Table1[[#This Row],[Status]]="Cancelled","Cancelled","Completed")</f>
        <v>Completed</v>
      </c>
      <c r="E69" t="s">
        <v>19</v>
      </c>
      <c r="F69" t="s">
        <v>20</v>
      </c>
      <c r="G69" t="s">
        <v>21</v>
      </c>
      <c r="H69" t="s">
        <v>233</v>
      </c>
      <c r="I69" t="s">
        <v>32</v>
      </c>
      <c r="J69" t="s">
        <v>41</v>
      </c>
      <c r="K69" t="s">
        <v>34</v>
      </c>
      <c r="L69">
        <v>1</v>
      </c>
      <c r="M69">
        <v>696</v>
      </c>
      <c r="N69" t="s">
        <v>51</v>
      </c>
      <c r="O69" t="s">
        <v>52</v>
      </c>
      <c r="P69" t="s">
        <v>27</v>
      </c>
      <c r="Q69" t="b">
        <v>0</v>
      </c>
      <c r="R69" t="s">
        <v>28</v>
      </c>
    </row>
    <row r="70" spans="1:18" x14ac:dyDescent="0.3">
      <c r="A70" t="s">
        <v>234</v>
      </c>
      <c r="B70" s="1">
        <v>44681</v>
      </c>
      <c r="C70" t="s">
        <v>34</v>
      </c>
      <c r="D70" t="str">
        <f>IF(Table1[[#This Row],[Status]]="Cancelled","Cancelled","Completed")</f>
        <v>Completed</v>
      </c>
      <c r="E70" t="s">
        <v>38</v>
      </c>
      <c r="F70" t="s">
        <v>20</v>
      </c>
      <c r="G70" t="s">
        <v>39</v>
      </c>
      <c r="H70" t="s">
        <v>235</v>
      </c>
      <c r="I70" t="s">
        <v>32</v>
      </c>
      <c r="J70" t="s">
        <v>105</v>
      </c>
      <c r="K70" t="s">
        <v>34</v>
      </c>
      <c r="L70">
        <v>1</v>
      </c>
      <c r="M70">
        <v>432</v>
      </c>
      <c r="N70" t="s">
        <v>25</v>
      </c>
      <c r="O70" t="s">
        <v>26</v>
      </c>
      <c r="P70" t="s">
        <v>27</v>
      </c>
      <c r="Q70" t="b">
        <v>0</v>
      </c>
    </row>
    <row r="71" spans="1:18" x14ac:dyDescent="0.3">
      <c r="A71" t="s">
        <v>236</v>
      </c>
      <c r="B71" s="1">
        <v>44681</v>
      </c>
      <c r="C71" t="s">
        <v>30</v>
      </c>
      <c r="D71" t="str">
        <f>IF(Table1[[#This Row],[Status]]="Cancelled","Cancelled","Completed")</f>
        <v>Completed</v>
      </c>
      <c r="E71" t="s">
        <v>19</v>
      </c>
      <c r="F71" t="s">
        <v>20</v>
      </c>
      <c r="G71" t="s">
        <v>21</v>
      </c>
      <c r="H71" t="s">
        <v>237</v>
      </c>
      <c r="I71" t="s">
        <v>23</v>
      </c>
      <c r="J71" t="s">
        <v>24</v>
      </c>
      <c r="K71" t="s">
        <v>34</v>
      </c>
      <c r="L71">
        <v>1</v>
      </c>
      <c r="M71">
        <v>631</v>
      </c>
      <c r="N71" t="s">
        <v>238</v>
      </c>
      <c r="O71" t="s">
        <v>36</v>
      </c>
      <c r="P71" t="s">
        <v>27</v>
      </c>
      <c r="Q71" t="b">
        <v>0</v>
      </c>
      <c r="R71" t="s">
        <v>28</v>
      </c>
    </row>
    <row r="72" spans="1:18" x14ac:dyDescent="0.3">
      <c r="A72" t="s">
        <v>239</v>
      </c>
      <c r="B72" s="1">
        <v>44681</v>
      </c>
      <c r="C72" t="s">
        <v>34</v>
      </c>
      <c r="D72" t="str">
        <f>IF(Table1[[#This Row],[Status]]="Cancelled","Cancelled","Completed")</f>
        <v>Completed</v>
      </c>
      <c r="E72" t="s">
        <v>38</v>
      </c>
      <c r="F72" t="s">
        <v>20</v>
      </c>
      <c r="G72" t="s">
        <v>39</v>
      </c>
      <c r="H72" t="s">
        <v>240</v>
      </c>
      <c r="I72" t="s">
        <v>32</v>
      </c>
      <c r="J72" t="s">
        <v>66</v>
      </c>
      <c r="K72" t="s">
        <v>34</v>
      </c>
      <c r="L72">
        <v>1</v>
      </c>
      <c r="M72">
        <v>316</v>
      </c>
      <c r="N72" t="s">
        <v>35</v>
      </c>
      <c r="O72" t="s">
        <v>36</v>
      </c>
      <c r="P72" t="s">
        <v>27</v>
      </c>
      <c r="Q72" t="b">
        <v>0</v>
      </c>
    </row>
    <row r="73" spans="1:18" x14ac:dyDescent="0.3">
      <c r="A73" t="s">
        <v>241</v>
      </c>
      <c r="B73" s="1">
        <v>44681</v>
      </c>
      <c r="C73" t="s">
        <v>30</v>
      </c>
      <c r="D73" t="str">
        <f>IF(Table1[[#This Row],[Status]]="Cancelled","Cancelled","Completed")</f>
        <v>Completed</v>
      </c>
      <c r="E73" t="s">
        <v>19</v>
      </c>
      <c r="F73" t="s">
        <v>20</v>
      </c>
      <c r="G73" t="s">
        <v>21</v>
      </c>
      <c r="H73" t="s">
        <v>242</v>
      </c>
      <c r="I73" t="s">
        <v>32</v>
      </c>
      <c r="J73" t="s">
        <v>41</v>
      </c>
      <c r="K73" t="s">
        <v>34</v>
      </c>
      <c r="L73">
        <v>1</v>
      </c>
      <c r="M73">
        <v>362</v>
      </c>
      <c r="N73" t="s">
        <v>243</v>
      </c>
      <c r="O73" t="s">
        <v>142</v>
      </c>
      <c r="P73" t="s">
        <v>27</v>
      </c>
      <c r="Q73" t="b">
        <v>0</v>
      </c>
      <c r="R73" t="s">
        <v>28</v>
      </c>
    </row>
    <row r="74" spans="1:18" x14ac:dyDescent="0.3">
      <c r="A74" t="s">
        <v>244</v>
      </c>
      <c r="B74" s="1">
        <v>44681</v>
      </c>
      <c r="C74" t="s">
        <v>34</v>
      </c>
      <c r="D74" t="str">
        <f>IF(Table1[[#This Row],[Status]]="Cancelled","Cancelled","Completed")</f>
        <v>Completed</v>
      </c>
      <c r="E74" t="s">
        <v>38</v>
      </c>
      <c r="F74" t="s">
        <v>20</v>
      </c>
      <c r="G74" t="s">
        <v>39</v>
      </c>
      <c r="H74" t="s">
        <v>245</v>
      </c>
      <c r="I74" t="s">
        <v>32</v>
      </c>
      <c r="J74" t="s">
        <v>46</v>
      </c>
      <c r="K74" t="s">
        <v>34</v>
      </c>
      <c r="L74">
        <v>1</v>
      </c>
      <c r="M74">
        <v>329</v>
      </c>
      <c r="N74" t="s">
        <v>62</v>
      </c>
      <c r="O74" t="s">
        <v>63</v>
      </c>
      <c r="P74" t="s">
        <v>27</v>
      </c>
      <c r="Q74" t="b">
        <v>0</v>
      </c>
    </row>
    <row r="75" spans="1:18" x14ac:dyDescent="0.3">
      <c r="A75" t="s">
        <v>246</v>
      </c>
      <c r="B75" s="1">
        <v>44681</v>
      </c>
      <c r="C75" t="s">
        <v>34</v>
      </c>
      <c r="D75" t="str">
        <f>IF(Table1[[#This Row],[Status]]="Cancelled","Cancelled","Completed")</f>
        <v>Completed</v>
      </c>
      <c r="E75" t="s">
        <v>38</v>
      </c>
      <c r="F75" t="s">
        <v>20</v>
      </c>
      <c r="G75" t="s">
        <v>39</v>
      </c>
      <c r="H75" t="s">
        <v>247</v>
      </c>
      <c r="I75" t="s">
        <v>32</v>
      </c>
      <c r="J75" t="s">
        <v>66</v>
      </c>
      <c r="K75" t="s">
        <v>34</v>
      </c>
      <c r="L75">
        <v>1</v>
      </c>
      <c r="M75">
        <v>399</v>
      </c>
      <c r="N75" t="s">
        <v>126</v>
      </c>
      <c r="O75" t="s">
        <v>26</v>
      </c>
      <c r="P75" t="s">
        <v>27</v>
      </c>
      <c r="Q75" t="b">
        <v>0</v>
      </c>
    </row>
    <row r="76" spans="1:18" x14ac:dyDescent="0.3">
      <c r="A76" t="s">
        <v>248</v>
      </c>
      <c r="B76" s="1">
        <v>44681</v>
      </c>
      <c r="C76" t="s">
        <v>34</v>
      </c>
      <c r="D76" t="str">
        <f>IF(Table1[[#This Row],[Status]]="Cancelled","Cancelled","Completed")</f>
        <v>Completed</v>
      </c>
      <c r="E76" t="s">
        <v>38</v>
      </c>
      <c r="F76" t="s">
        <v>20</v>
      </c>
      <c r="G76" t="s">
        <v>39</v>
      </c>
      <c r="H76" t="s">
        <v>249</v>
      </c>
      <c r="I76" t="s">
        <v>23</v>
      </c>
      <c r="J76" t="s">
        <v>33</v>
      </c>
      <c r="K76" t="s">
        <v>34</v>
      </c>
      <c r="L76">
        <v>1</v>
      </c>
      <c r="M76">
        <v>751</v>
      </c>
      <c r="N76" t="s">
        <v>113</v>
      </c>
      <c r="O76" t="s">
        <v>114</v>
      </c>
      <c r="P76" t="s">
        <v>27</v>
      </c>
      <c r="Q76" t="b">
        <v>0</v>
      </c>
    </row>
    <row r="77" spans="1:18" x14ac:dyDescent="0.3">
      <c r="A77" t="s">
        <v>250</v>
      </c>
      <c r="B77" s="1">
        <v>44681</v>
      </c>
      <c r="C77" t="s">
        <v>34</v>
      </c>
      <c r="D77" t="str">
        <f>IF(Table1[[#This Row],[Status]]="Cancelled","Cancelled","Completed")</f>
        <v>Completed</v>
      </c>
      <c r="E77" t="s">
        <v>38</v>
      </c>
      <c r="F77" t="s">
        <v>20</v>
      </c>
      <c r="G77" t="s">
        <v>39</v>
      </c>
      <c r="H77" t="s">
        <v>251</v>
      </c>
      <c r="I77" t="s">
        <v>45</v>
      </c>
      <c r="J77" t="s">
        <v>41</v>
      </c>
      <c r="K77" t="s">
        <v>34</v>
      </c>
      <c r="L77">
        <v>1</v>
      </c>
      <c r="M77">
        <v>791</v>
      </c>
      <c r="N77" t="s">
        <v>252</v>
      </c>
      <c r="O77" t="s">
        <v>222</v>
      </c>
      <c r="P77" t="s">
        <v>27</v>
      </c>
      <c r="Q77" t="b">
        <v>0</v>
      </c>
    </row>
    <row r="78" spans="1:18" x14ac:dyDescent="0.3">
      <c r="A78" t="s">
        <v>253</v>
      </c>
      <c r="B78" s="1">
        <v>44681</v>
      </c>
      <c r="C78" t="s">
        <v>34</v>
      </c>
      <c r="D78" t="str">
        <f>IF(Table1[[#This Row],[Status]]="Cancelled","Cancelled","Completed")</f>
        <v>Completed</v>
      </c>
      <c r="E78" t="s">
        <v>38</v>
      </c>
      <c r="F78" t="s">
        <v>20</v>
      </c>
      <c r="G78" t="s">
        <v>39</v>
      </c>
      <c r="H78" t="s">
        <v>254</v>
      </c>
      <c r="I78" t="s">
        <v>23</v>
      </c>
      <c r="J78" t="s">
        <v>33</v>
      </c>
      <c r="K78" t="s">
        <v>34</v>
      </c>
      <c r="L78">
        <v>1</v>
      </c>
      <c r="M78">
        <v>684</v>
      </c>
      <c r="N78" t="s">
        <v>255</v>
      </c>
      <c r="O78" t="s">
        <v>173</v>
      </c>
      <c r="P78" t="s">
        <v>27</v>
      </c>
      <c r="Q78" t="b">
        <v>0</v>
      </c>
    </row>
    <row r="79" spans="1:18" x14ac:dyDescent="0.3">
      <c r="A79" t="s">
        <v>253</v>
      </c>
      <c r="B79" s="1">
        <v>44681</v>
      </c>
      <c r="C79" t="s">
        <v>34</v>
      </c>
      <c r="D79" t="str">
        <f>IF(Table1[[#This Row],[Status]]="Cancelled","Cancelled","Completed")</f>
        <v>Completed</v>
      </c>
      <c r="E79" t="s">
        <v>38</v>
      </c>
      <c r="F79" t="s">
        <v>20</v>
      </c>
      <c r="G79" t="s">
        <v>39</v>
      </c>
      <c r="H79" t="s">
        <v>256</v>
      </c>
      <c r="I79" t="s">
        <v>23</v>
      </c>
      <c r="J79" t="s">
        <v>33</v>
      </c>
      <c r="K79" t="s">
        <v>34</v>
      </c>
      <c r="L79">
        <v>1</v>
      </c>
      <c r="M79">
        <v>1281</v>
      </c>
      <c r="N79" t="s">
        <v>255</v>
      </c>
      <c r="O79" t="s">
        <v>173</v>
      </c>
      <c r="P79" t="s">
        <v>27</v>
      </c>
      <c r="Q79" t="b">
        <v>0</v>
      </c>
    </row>
    <row r="80" spans="1:18" x14ac:dyDescent="0.3">
      <c r="A80" t="s">
        <v>253</v>
      </c>
      <c r="B80" s="1">
        <v>44681</v>
      </c>
      <c r="C80" t="s">
        <v>34</v>
      </c>
      <c r="D80" t="str">
        <f>IF(Table1[[#This Row],[Status]]="Cancelled","Cancelled","Completed")</f>
        <v>Completed</v>
      </c>
      <c r="E80" t="s">
        <v>38</v>
      </c>
      <c r="F80" t="s">
        <v>20</v>
      </c>
      <c r="G80" t="s">
        <v>39</v>
      </c>
      <c r="H80" t="s">
        <v>257</v>
      </c>
      <c r="I80" t="s">
        <v>23</v>
      </c>
      <c r="J80" t="s">
        <v>33</v>
      </c>
      <c r="K80" t="s">
        <v>34</v>
      </c>
      <c r="L80">
        <v>1</v>
      </c>
      <c r="M80">
        <v>1186</v>
      </c>
      <c r="N80" t="s">
        <v>255</v>
      </c>
      <c r="O80" t="s">
        <v>173</v>
      </c>
      <c r="P80" t="s">
        <v>27</v>
      </c>
      <c r="Q80" t="b">
        <v>0</v>
      </c>
    </row>
    <row r="81" spans="1:18" x14ac:dyDescent="0.3">
      <c r="A81" t="s">
        <v>258</v>
      </c>
      <c r="B81" s="1">
        <v>44681</v>
      </c>
      <c r="C81" t="s">
        <v>34</v>
      </c>
      <c r="D81" t="str">
        <f>IF(Table1[[#This Row],[Status]]="Cancelled","Cancelled","Completed")</f>
        <v>Completed</v>
      </c>
      <c r="E81" t="s">
        <v>38</v>
      </c>
      <c r="F81" t="s">
        <v>20</v>
      </c>
      <c r="G81" t="s">
        <v>39</v>
      </c>
      <c r="H81" t="s">
        <v>259</v>
      </c>
      <c r="I81" t="s">
        <v>32</v>
      </c>
      <c r="J81" t="s">
        <v>66</v>
      </c>
      <c r="K81" t="s">
        <v>34</v>
      </c>
      <c r="L81">
        <v>1</v>
      </c>
      <c r="M81">
        <v>499</v>
      </c>
      <c r="N81" t="s">
        <v>62</v>
      </c>
      <c r="O81" t="s">
        <v>63</v>
      </c>
      <c r="P81" t="s">
        <v>27</v>
      </c>
      <c r="Q81" t="b">
        <v>0</v>
      </c>
    </row>
    <row r="82" spans="1:18" x14ac:dyDescent="0.3">
      <c r="A82" t="s">
        <v>260</v>
      </c>
      <c r="B82" s="1">
        <v>44681</v>
      </c>
      <c r="C82" t="s">
        <v>18</v>
      </c>
      <c r="D82" t="str">
        <f>IF(Table1[[#This Row],[Status]]="Cancelled","Cancelled","Completed")</f>
        <v>Cancelled</v>
      </c>
      <c r="E82" t="s">
        <v>19</v>
      </c>
      <c r="F82" t="s">
        <v>20</v>
      </c>
      <c r="G82" t="s">
        <v>21</v>
      </c>
      <c r="H82" t="s">
        <v>261</v>
      </c>
      <c r="I82" t="s">
        <v>23</v>
      </c>
      <c r="J82" t="s">
        <v>105</v>
      </c>
      <c r="L82">
        <v>0</v>
      </c>
      <c r="M82">
        <v>1105.3599999999999</v>
      </c>
      <c r="N82" t="s">
        <v>262</v>
      </c>
      <c r="O82" t="s">
        <v>263</v>
      </c>
      <c r="P82" t="s">
        <v>27</v>
      </c>
      <c r="Q82" t="b">
        <v>0</v>
      </c>
      <c r="R82" t="s">
        <v>28</v>
      </c>
    </row>
    <row r="83" spans="1:18" x14ac:dyDescent="0.3">
      <c r="A83" t="s">
        <v>264</v>
      </c>
      <c r="B83" s="1">
        <v>44681</v>
      </c>
      <c r="C83" t="s">
        <v>30</v>
      </c>
      <c r="D83" t="str">
        <f>IF(Table1[[#This Row],[Status]]="Cancelled","Cancelled","Completed")</f>
        <v>Completed</v>
      </c>
      <c r="E83" t="s">
        <v>19</v>
      </c>
      <c r="F83" t="s">
        <v>20</v>
      </c>
      <c r="G83" t="s">
        <v>21</v>
      </c>
      <c r="H83" t="s">
        <v>265</v>
      </c>
      <c r="I83" t="s">
        <v>266</v>
      </c>
      <c r="J83" t="s">
        <v>33</v>
      </c>
      <c r="K83" t="s">
        <v>34</v>
      </c>
      <c r="L83">
        <v>1</v>
      </c>
      <c r="M83">
        <v>377</v>
      </c>
      <c r="N83" t="s">
        <v>172</v>
      </c>
      <c r="O83" t="s">
        <v>173</v>
      </c>
      <c r="P83" t="s">
        <v>27</v>
      </c>
      <c r="Q83" t="b">
        <v>0</v>
      </c>
      <c r="R83" t="s">
        <v>28</v>
      </c>
    </row>
    <row r="84" spans="1:18" x14ac:dyDescent="0.3">
      <c r="A84" t="s">
        <v>267</v>
      </c>
      <c r="B84" s="1">
        <v>44681</v>
      </c>
      <c r="C84" t="s">
        <v>34</v>
      </c>
      <c r="D84" t="str">
        <f>IF(Table1[[#This Row],[Status]]="Cancelled","Cancelled","Completed")</f>
        <v>Completed</v>
      </c>
      <c r="E84" t="s">
        <v>38</v>
      </c>
      <c r="F84" t="s">
        <v>20</v>
      </c>
      <c r="G84" t="s">
        <v>39</v>
      </c>
      <c r="H84" t="s">
        <v>268</v>
      </c>
      <c r="I84" t="s">
        <v>45</v>
      </c>
      <c r="J84" t="s">
        <v>105</v>
      </c>
      <c r="K84" t="s">
        <v>34</v>
      </c>
      <c r="L84">
        <v>1</v>
      </c>
      <c r="M84">
        <v>744</v>
      </c>
      <c r="N84" t="s">
        <v>269</v>
      </c>
      <c r="O84" t="s">
        <v>52</v>
      </c>
      <c r="P84" t="s">
        <v>27</v>
      </c>
      <c r="Q84" t="b">
        <v>0</v>
      </c>
    </row>
    <row r="85" spans="1:18" x14ac:dyDescent="0.3">
      <c r="A85" t="s">
        <v>270</v>
      </c>
      <c r="B85" s="1">
        <v>44681</v>
      </c>
      <c r="C85" t="s">
        <v>34</v>
      </c>
      <c r="D85" t="str">
        <f>IF(Table1[[#This Row],[Status]]="Cancelled","Cancelled","Completed")</f>
        <v>Completed</v>
      </c>
      <c r="E85" t="s">
        <v>38</v>
      </c>
      <c r="F85" t="s">
        <v>20</v>
      </c>
      <c r="G85" t="s">
        <v>39</v>
      </c>
      <c r="H85" t="s">
        <v>271</v>
      </c>
      <c r="I85" t="s">
        <v>45</v>
      </c>
      <c r="J85" t="s">
        <v>41</v>
      </c>
      <c r="K85" t="s">
        <v>34</v>
      </c>
      <c r="L85">
        <v>1</v>
      </c>
      <c r="M85">
        <v>744</v>
      </c>
      <c r="N85" t="s">
        <v>262</v>
      </c>
      <c r="O85" t="s">
        <v>263</v>
      </c>
      <c r="P85" t="s">
        <v>27</v>
      </c>
      <c r="Q85" t="b">
        <v>0</v>
      </c>
    </row>
    <row r="86" spans="1:18" x14ac:dyDescent="0.3">
      <c r="A86" t="s">
        <v>272</v>
      </c>
      <c r="B86" s="1">
        <v>44681</v>
      </c>
      <c r="C86" t="s">
        <v>30</v>
      </c>
      <c r="D86" t="str">
        <f>IF(Table1[[#This Row],[Status]]="Cancelled","Cancelled","Completed")</f>
        <v>Completed</v>
      </c>
      <c r="E86" t="s">
        <v>19</v>
      </c>
      <c r="F86" t="s">
        <v>20</v>
      </c>
      <c r="G86" t="s">
        <v>21</v>
      </c>
      <c r="H86" t="s">
        <v>273</v>
      </c>
      <c r="I86" t="s">
        <v>45</v>
      </c>
      <c r="J86" t="s">
        <v>66</v>
      </c>
      <c r="K86" t="s">
        <v>34</v>
      </c>
      <c r="L86">
        <v>1</v>
      </c>
      <c r="M86">
        <v>859</v>
      </c>
      <c r="N86" t="s">
        <v>88</v>
      </c>
      <c r="O86" t="s">
        <v>89</v>
      </c>
      <c r="P86" t="s">
        <v>27</v>
      </c>
      <c r="Q86" t="b">
        <v>0</v>
      </c>
      <c r="R86" t="s">
        <v>28</v>
      </c>
    </row>
    <row r="87" spans="1:18" x14ac:dyDescent="0.3">
      <c r="A87" t="s">
        <v>274</v>
      </c>
      <c r="B87" s="1">
        <v>44681</v>
      </c>
      <c r="C87" t="s">
        <v>34</v>
      </c>
      <c r="D87" t="str">
        <f>IF(Table1[[#This Row],[Status]]="Cancelled","Cancelled","Completed")</f>
        <v>Completed</v>
      </c>
      <c r="E87" t="s">
        <v>38</v>
      </c>
      <c r="F87" t="s">
        <v>20</v>
      </c>
      <c r="G87" t="s">
        <v>39</v>
      </c>
      <c r="H87" t="s">
        <v>275</v>
      </c>
      <c r="I87" t="s">
        <v>32</v>
      </c>
      <c r="J87" t="s">
        <v>105</v>
      </c>
      <c r="K87" t="s">
        <v>34</v>
      </c>
      <c r="L87">
        <v>1</v>
      </c>
      <c r="M87">
        <v>487</v>
      </c>
      <c r="N87" t="s">
        <v>276</v>
      </c>
      <c r="O87" t="s">
        <v>222</v>
      </c>
      <c r="P87" t="s">
        <v>27</v>
      </c>
      <c r="Q87" t="b">
        <v>0</v>
      </c>
    </row>
    <row r="88" spans="1:18" x14ac:dyDescent="0.3">
      <c r="A88" t="s">
        <v>277</v>
      </c>
      <c r="B88" s="1">
        <v>44681</v>
      </c>
      <c r="C88" t="s">
        <v>34</v>
      </c>
      <c r="D88" t="str">
        <f>IF(Table1[[#This Row],[Status]]="Cancelled","Cancelled","Completed")</f>
        <v>Completed</v>
      </c>
      <c r="E88" t="s">
        <v>38</v>
      </c>
      <c r="F88" t="s">
        <v>20</v>
      </c>
      <c r="G88" t="s">
        <v>39</v>
      </c>
      <c r="H88" t="s">
        <v>278</v>
      </c>
      <c r="I88" t="s">
        <v>45</v>
      </c>
      <c r="J88" t="s">
        <v>33</v>
      </c>
      <c r="K88" t="s">
        <v>34</v>
      </c>
      <c r="L88">
        <v>1</v>
      </c>
      <c r="M88">
        <v>825</v>
      </c>
      <c r="N88" t="s">
        <v>279</v>
      </c>
      <c r="O88" t="s">
        <v>155</v>
      </c>
      <c r="P88" t="s">
        <v>27</v>
      </c>
      <c r="Q88" t="b">
        <v>0</v>
      </c>
    </row>
    <row r="89" spans="1:18" x14ac:dyDescent="0.3">
      <c r="A89" t="s">
        <v>280</v>
      </c>
      <c r="B89" s="1">
        <v>44681</v>
      </c>
      <c r="C89" t="s">
        <v>34</v>
      </c>
      <c r="D89" t="str">
        <f>IF(Table1[[#This Row],[Status]]="Cancelled","Cancelled","Completed")</f>
        <v>Completed</v>
      </c>
      <c r="E89" t="s">
        <v>38</v>
      </c>
      <c r="F89" t="s">
        <v>20</v>
      </c>
      <c r="G89" t="s">
        <v>39</v>
      </c>
      <c r="H89" t="s">
        <v>281</v>
      </c>
      <c r="I89" t="s">
        <v>23</v>
      </c>
      <c r="J89" t="s">
        <v>105</v>
      </c>
      <c r="K89" t="s">
        <v>34</v>
      </c>
      <c r="L89">
        <v>1</v>
      </c>
      <c r="M89">
        <v>680</v>
      </c>
      <c r="N89" t="s">
        <v>282</v>
      </c>
      <c r="O89" t="s">
        <v>283</v>
      </c>
      <c r="P89" t="s">
        <v>27</v>
      </c>
      <c r="Q89" t="b">
        <v>0</v>
      </c>
    </row>
    <row r="90" spans="1:18" x14ac:dyDescent="0.3">
      <c r="A90" t="s">
        <v>284</v>
      </c>
      <c r="B90" s="1">
        <v>44681</v>
      </c>
      <c r="C90" t="s">
        <v>30</v>
      </c>
      <c r="D90" t="str">
        <f>IF(Table1[[#This Row],[Status]]="Cancelled","Cancelled","Completed")</f>
        <v>Completed</v>
      </c>
      <c r="E90" t="s">
        <v>19</v>
      </c>
      <c r="F90" t="s">
        <v>20</v>
      </c>
      <c r="G90" t="s">
        <v>21</v>
      </c>
      <c r="H90" t="s">
        <v>285</v>
      </c>
      <c r="I90" t="s">
        <v>32</v>
      </c>
      <c r="J90" t="s">
        <v>33</v>
      </c>
      <c r="K90" t="s">
        <v>34</v>
      </c>
      <c r="L90">
        <v>1</v>
      </c>
      <c r="M90">
        <v>725</v>
      </c>
      <c r="N90" t="s">
        <v>51</v>
      </c>
      <c r="O90" t="s">
        <v>52</v>
      </c>
      <c r="P90" t="s">
        <v>27</v>
      </c>
      <c r="Q90" t="b">
        <v>0</v>
      </c>
      <c r="R90" t="s">
        <v>28</v>
      </c>
    </row>
    <row r="91" spans="1:18" x14ac:dyDescent="0.3">
      <c r="A91" t="s">
        <v>286</v>
      </c>
      <c r="B91" s="1">
        <v>44681</v>
      </c>
      <c r="C91" t="s">
        <v>34</v>
      </c>
      <c r="D91" t="str">
        <f>IF(Table1[[#This Row],[Status]]="Cancelled","Cancelled","Completed")</f>
        <v>Completed</v>
      </c>
      <c r="E91" t="s">
        <v>38</v>
      </c>
      <c r="F91" t="s">
        <v>20</v>
      </c>
      <c r="G91" t="s">
        <v>39</v>
      </c>
      <c r="H91" t="s">
        <v>287</v>
      </c>
      <c r="I91" t="s">
        <v>23</v>
      </c>
      <c r="J91" t="s">
        <v>105</v>
      </c>
      <c r="K91" t="s">
        <v>34</v>
      </c>
      <c r="L91">
        <v>1</v>
      </c>
      <c r="M91">
        <v>696</v>
      </c>
      <c r="N91" t="s">
        <v>276</v>
      </c>
      <c r="O91" t="s">
        <v>222</v>
      </c>
      <c r="P91" t="s">
        <v>27</v>
      </c>
      <c r="Q91" t="b">
        <v>0</v>
      </c>
    </row>
    <row r="92" spans="1:18" x14ac:dyDescent="0.3">
      <c r="A92" t="s">
        <v>288</v>
      </c>
      <c r="B92" s="1">
        <v>44681</v>
      </c>
      <c r="C92" t="s">
        <v>34</v>
      </c>
      <c r="D92" t="str">
        <f>IF(Table1[[#This Row],[Status]]="Cancelled","Cancelled","Completed")</f>
        <v>Completed</v>
      </c>
      <c r="E92" t="s">
        <v>38</v>
      </c>
      <c r="F92" t="s">
        <v>20</v>
      </c>
      <c r="G92" t="s">
        <v>39</v>
      </c>
      <c r="H92" t="s">
        <v>289</v>
      </c>
      <c r="I92" t="s">
        <v>32</v>
      </c>
      <c r="J92" t="s">
        <v>46</v>
      </c>
      <c r="K92" t="s">
        <v>34</v>
      </c>
      <c r="L92">
        <v>1</v>
      </c>
      <c r="M92">
        <v>499</v>
      </c>
      <c r="N92" t="s">
        <v>276</v>
      </c>
      <c r="O92" t="s">
        <v>222</v>
      </c>
      <c r="P92" t="s">
        <v>27</v>
      </c>
      <c r="Q92" t="b">
        <v>0</v>
      </c>
    </row>
    <row r="93" spans="1:18" x14ac:dyDescent="0.3">
      <c r="A93" t="s">
        <v>290</v>
      </c>
      <c r="B93" s="1">
        <v>44681</v>
      </c>
      <c r="C93" t="s">
        <v>34</v>
      </c>
      <c r="D93" t="str">
        <f>IF(Table1[[#This Row],[Status]]="Cancelled","Cancelled","Completed")</f>
        <v>Completed</v>
      </c>
      <c r="E93" t="s">
        <v>38</v>
      </c>
      <c r="F93" t="s">
        <v>20</v>
      </c>
      <c r="G93" t="s">
        <v>39</v>
      </c>
      <c r="H93" t="s">
        <v>291</v>
      </c>
      <c r="I93" t="s">
        <v>23</v>
      </c>
      <c r="J93" t="s">
        <v>46</v>
      </c>
      <c r="K93" t="s">
        <v>34</v>
      </c>
      <c r="L93">
        <v>1</v>
      </c>
      <c r="M93">
        <v>696</v>
      </c>
      <c r="N93" t="s">
        <v>292</v>
      </c>
      <c r="O93" t="s">
        <v>293</v>
      </c>
      <c r="P93" t="s">
        <v>27</v>
      </c>
      <c r="Q93" t="b">
        <v>0</v>
      </c>
    </row>
    <row r="94" spans="1:18" x14ac:dyDescent="0.3">
      <c r="A94" t="s">
        <v>294</v>
      </c>
      <c r="B94" s="1">
        <v>44681</v>
      </c>
      <c r="C94" t="s">
        <v>34</v>
      </c>
      <c r="D94" t="str">
        <f>IF(Table1[[#This Row],[Status]]="Cancelled","Cancelled","Completed")</f>
        <v>Completed</v>
      </c>
      <c r="E94" t="s">
        <v>38</v>
      </c>
      <c r="F94" t="s">
        <v>20</v>
      </c>
      <c r="G94" t="s">
        <v>39</v>
      </c>
      <c r="H94" t="s">
        <v>295</v>
      </c>
      <c r="I94" t="s">
        <v>32</v>
      </c>
      <c r="J94" t="s">
        <v>33</v>
      </c>
      <c r="K94" t="s">
        <v>34</v>
      </c>
      <c r="L94">
        <v>1</v>
      </c>
      <c r="M94">
        <v>406</v>
      </c>
      <c r="N94" t="s">
        <v>238</v>
      </c>
      <c r="O94" t="s">
        <v>36</v>
      </c>
      <c r="P94" t="s">
        <v>27</v>
      </c>
      <c r="Q94" t="b">
        <v>0</v>
      </c>
    </row>
    <row r="95" spans="1:18" x14ac:dyDescent="0.3">
      <c r="A95" t="s">
        <v>296</v>
      </c>
      <c r="B95" s="1">
        <v>44681</v>
      </c>
      <c r="C95" t="s">
        <v>34</v>
      </c>
      <c r="D95" t="str">
        <f>IF(Table1[[#This Row],[Status]]="Cancelled","Cancelled","Completed")</f>
        <v>Completed</v>
      </c>
      <c r="E95" t="s">
        <v>38</v>
      </c>
      <c r="F95" t="s">
        <v>20</v>
      </c>
      <c r="G95" t="s">
        <v>39</v>
      </c>
      <c r="H95" t="s">
        <v>297</v>
      </c>
      <c r="I95" t="s">
        <v>23</v>
      </c>
      <c r="J95" t="s">
        <v>24</v>
      </c>
      <c r="K95" t="s">
        <v>34</v>
      </c>
      <c r="L95">
        <v>1</v>
      </c>
      <c r="M95">
        <v>852</v>
      </c>
      <c r="N95" t="s">
        <v>92</v>
      </c>
      <c r="O95" t="s">
        <v>93</v>
      </c>
      <c r="P95" t="s">
        <v>27</v>
      </c>
      <c r="Q95" t="b">
        <v>0</v>
      </c>
    </row>
    <row r="96" spans="1:18" x14ac:dyDescent="0.3">
      <c r="A96" t="s">
        <v>298</v>
      </c>
      <c r="B96" s="1">
        <v>44681</v>
      </c>
      <c r="C96" t="s">
        <v>34</v>
      </c>
      <c r="D96" t="str">
        <f>IF(Table1[[#This Row],[Status]]="Cancelled","Cancelled","Completed")</f>
        <v>Completed</v>
      </c>
      <c r="E96" t="s">
        <v>38</v>
      </c>
      <c r="F96" t="s">
        <v>20</v>
      </c>
      <c r="G96" t="s">
        <v>39</v>
      </c>
      <c r="H96" t="s">
        <v>247</v>
      </c>
      <c r="I96" t="s">
        <v>32</v>
      </c>
      <c r="J96" t="s">
        <v>66</v>
      </c>
      <c r="K96" t="s">
        <v>34</v>
      </c>
      <c r="L96">
        <v>1</v>
      </c>
      <c r="M96">
        <v>399</v>
      </c>
      <c r="N96" t="s">
        <v>299</v>
      </c>
      <c r="O96" t="s">
        <v>97</v>
      </c>
      <c r="P96" t="s">
        <v>27</v>
      </c>
      <c r="Q96" t="b">
        <v>0</v>
      </c>
    </row>
    <row r="97" spans="1:18" x14ac:dyDescent="0.3">
      <c r="A97" t="s">
        <v>300</v>
      </c>
      <c r="B97" s="1">
        <v>44681</v>
      </c>
      <c r="C97" t="s">
        <v>34</v>
      </c>
      <c r="D97" t="str">
        <f>IF(Table1[[#This Row],[Status]]="Cancelled","Cancelled","Completed")</f>
        <v>Completed</v>
      </c>
      <c r="E97" t="s">
        <v>38</v>
      </c>
      <c r="F97" t="s">
        <v>20</v>
      </c>
      <c r="G97" t="s">
        <v>39</v>
      </c>
      <c r="H97" t="s">
        <v>301</v>
      </c>
      <c r="I97" t="s">
        <v>32</v>
      </c>
      <c r="J97" t="s">
        <v>66</v>
      </c>
      <c r="K97" t="s">
        <v>34</v>
      </c>
      <c r="L97">
        <v>1</v>
      </c>
      <c r="M97">
        <v>432</v>
      </c>
      <c r="N97" t="s">
        <v>302</v>
      </c>
      <c r="O97" t="s">
        <v>222</v>
      </c>
      <c r="P97" t="s">
        <v>27</v>
      </c>
      <c r="Q97" t="b">
        <v>0</v>
      </c>
    </row>
    <row r="98" spans="1:18" x14ac:dyDescent="0.3">
      <c r="A98" t="s">
        <v>303</v>
      </c>
      <c r="B98" s="1">
        <v>44681</v>
      </c>
      <c r="C98" t="s">
        <v>30</v>
      </c>
      <c r="D98" t="str">
        <f>IF(Table1[[#This Row],[Status]]="Cancelled","Cancelled","Completed")</f>
        <v>Completed</v>
      </c>
      <c r="E98" t="s">
        <v>19</v>
      </c>
      <c r="F98" t="s">
        <v>20</v>
      </c>
      <c r="G98" t="s">
        <v>21</v>
      </c>
      <c r="H98" t="s">
        <v>304</v>
      </c>
      <c r="I98" t="s">
        <v>23</v>
      </c>
      <c r="J98" t="s">
        <v>66</v>
      </c>
      <c r="K98" t="s">
        <v>34</v>
      </c>
      <c r="L98">
        <v>1</v>
      </c>
      <c r="M98">
        <v>1338</v>
      </c>
      <c r="N98" t="s">
        <v>305</v>
      </c>
      <c r="O98" t="s">
        <v>26</v>
      </c>
      <c r="P98" t="s">
        <v>27</v>
      </c>
      <c r="Q98" t="b">
        <v>0</v>
      </c>
      <c r="R98" t="s">
        <v>28</v>
      </c>
    </row>
    <row r="99" spans="1:18" x14ac:dyDescent="0.3">
      <c r="A99" t="s">
        <v>306</v>
      </c>
      <c r="B99" s="1">
        <v>44681</v>
      </c>
      <c r="C99" t="s">
        <v>30</v>
      </c>
      <c r="D99" t="str">
        <f>IF(Table1[[#This Row],[Status]]="Cancelled","Cancelled","Completed")</f>
        <v>Completed</v>
      </c>
      <c r="E99" t="s">
        <v>19</v>
      </c>
      <c r="F99" t="s">
        <v>20</v>
      </c>
      <c r="G99" t="s">
        <v>21</v>
      </c>
      <c r="H99" t="s">
        <v>307</v>
      </c>
      <c r="I99" t="s">
        <v>45</v>
      </c>
      <c r="J99" t="s">
        <v>24</v>
      </c>
      <c r="K99" t="s">
        <v>34</v>
      </c>
      <c r="L99">
        <v>1</v>
      </c>
      <c r="M99">
        <v>472</v>
      </c>
      <c r="N99" t="s">
        <v>308</v>
      </c>
      <c r="O99" t="s">
        <v>163</v>
      </c>
      <c r="P99" t="s">
        <v>27</v>
      </c>
      <c r="Q99" t="b">
        <v>0</v>
      </c>
      <c r="R99" t="s">
        <v>28</v>
      </c>
    </row>
    <row r="100" spans="1:18" x14ac:dyDescent="0.3">
      <c r="A100" t="s">
        <v>309</v>
      </c>
      <c r="B100" s="1">
        <v>44681</v>
      </c>
      <c r="C100" t="s">
        <v>34</v>
      </c>
      <c r="D100" t="str">
        <f>IF(Table1[[#This Row],[Status]]="Cancelled","Cancelled","Completed")</f>
        <v>Completed</v>
      </c>
      <c r="E100" t="s">
        <v>38</v>
      </c>
      <c r="F100" t="s">
        <v>20</v>
      </c>
      <c r="G100" t="s">
        <v>39</v>
      </c>
      <c r="H100" t="s">
        <v>169</v>
      </c>
      <c r="I100" t="s">
        <v>23</v>
      </c>
      <c r="J100" t="s">
        <v>46</v>
      </c>
      <c r="K100" t="s">
        <v>34</v>
      </c>
      <c r="L100">
        <v>1</v>
      </c>
      <c r="M100">
        <v>788</v>
      </c>
      <c r="N100" t="s">
        <v>92</v>
      </c>
      <c r="O100" t="s">
        <v>93</v>
      </c>
      <c r="P100" t="s">
        <v>27</v>
      </c>
      <c r="Q100" t="b">
        <v>0</v>
      </c>
    </row>
    <row r="101" spans="1:18" x14ac:dyDescent="0.3">
      <c r="A101" t="s">
        <v>310</v>
      </c>
      <c r="B101" s="1">
        <v>44681</v>
      </c>
      <c r="C101" t="s">
        <v>30</v>
      </c>
      <c r="D101" t="str">
        <f>IF(Table1[[#This Row],[Status]]="Cancelled","Cancelled","Completed")</f>
        <v>Completed</v>
      </c>
      <c r="E101" t="s">
        <v>19</v>
      </c>
      <c r="F101" t="s">
        <v>20</v>
      </c>
      <c r="G101" t="s">
        <v>21</v>
      </c>
      <c r="H101" t="s">
        <v>311</v>
      </c>
      <c r="I101" t="s">
        <v>23</v>
      </c>
      <c r="J101" t="s">
        <v>41</v>
      </c>
      <c r="K101" t="s">
        <v>34</v>
      </c>
      <c r="L101">
        <v>1</v>
      </c>
      <c r="M101">
        <v>832</v>
      </c>
      <c r="N101" t="s">
        <v>312</v>
      </c>
      <c r="O101" t="s">
        <v>97</v>
      </c>
      <c r="P101" t="s">
        <v>27</v>
      </c>
      <c r="Q101" t="b">
        <v>0</v>
      </c>
      <c r="R101" t="s">
        <v>28</v>
      </c>
    </row>
    <row r="102" spans="1:18" x14ac:dyDescent="0.3">
      <c r="A102" t="s">
        <v>310</v>
      </c>
      <c r="B102" s="1">
        <v>44681</v>
      </c>
      <c r="C102" t="s">
        <v>30</v>
      </c>
      <c r="D102" t="str">
        <f>IF(Table1[[#This Row],[Status]]="Cancelled","Cancelled","Completed")</f>
        <v>Completed</v>
      </c>
      <c r="E102" t="s">
        <v>19</v>
      </c>
      <c r="F102" t="s">
        <v>20</v>
      </c>
      <c r="G102" t="s">
        <v>21</v>
      </c>
      <c r="H102" t="s">
        <v>313</v>
      </c>
      <c r="I102" t="s">
        <v>32</v>
      </c>
      <c r="J102" t="s">
        <v>41</v>
      </c>
      <c r="K102" t="s">
        <v>34</v>
      </c>
      <c r="L102">
        <v>1</v>
      </c>
      <c r="M102">
        <v>399</v>
      </c>
      <c r="N102" t="s">
        <v>312</v>
      </c>
      <c r="O102" t="s">
        <v>97</v>
      </c>
      <c r="P102" t="s">
        <v>27</v>
      </c>
      <c r="Q102" t="b">
        <v>0</v>
      </c>
      <c r="R102" t="s">
        <v>28</v>
      </c>
    </row>
    <row r="103" spans="1:18" x14ac:dyDescent="0.3">
      <c r="A103" t="s">
        <v>314</v>
      </c>
      <c r="B103" s="1">
        <v>44681</v>
      </c>
      <c r="C103" t="s">
        <v>34</v>
      </c>
      <c r="D103" t="str">
        <f>IF(Table1[[#This Row],[Status]]="Cancelled","Cancelled","Completed")</f>
        <v>Completed</v>
      </c>
      <c r="E103" t="s">
        <v>38</v>
      </c>
      <c r="F103" t="s">
        <v>20</v>
      </c>
      <c r="G103" t="s">
        <v>39</v>
      </c>
      <c r="H103" t="s">
        <v>315</v>
      </c>
      <c r="I103" t="s">
        <v>23</v>
      </c>
      <c r="J103" t="s">
        <v>41</v>
      </c>
      <c r="K103" t="s">
        <v>34</v>
      </c>
      <c r="L103">
        <v>1</v>
      </c>
      <c r="M103">
        <v>599</v>
      </c>
      <c r="N103" t="s">
        <v>312</v>
      </c>
      <c r="O103" t="s">
        <v>97</v>
      </c>
      <c r="P103" t="s">
        <v>27</v>
      </c>
      <c r="Q103" t="b">
        <v>0</v>
      </c>
    </row>
    <row r="104" spans="1:18" x14ac:dyDescent="0.3">
      <c r="A104" t="s">
        <v>316</v>
      </c>
      <c r="B104" s="1">
        <v>44681</v>
      </c>
      <c r="C104" t="s">
        <v>34</v>
      </c>
      <c r="D104" t="str">
        <f>IF(Table1[[#This Row],[Status]]="Cancelled","Cancelled","Completed")</f>
        <v>Completed</v>
      </c>
      <c r="E104" t="s">
        <v>38</v>
      </c>
      <c r="F104" t="s">
        <v>20</v>
      </c>
      <c r="G104" t="s">
        <v>39</v>
      </c>
      <c r="H104" t="s">
        <v>317</v>
      </c>
      <c r="I104" t="s">
        <v>23</v>
      </c>
      <c r="J104" t="s">
        <v>105</v>
      </c>
      <c r="K104" t="s">
        <v>34</v>
      </c>
      <c r="L104">
        <v>1</v>
      </c>
      <c r="M104">
        <v>692</v>
      </c>
      <c r="N104" t="s">
        <v>255</v>
      </c>
      <c r="O104" t="s">
        <v>173</v>
      </c>
      <c r="P104" t="s">
        <v>27</v>
      </c>
      <c r="Q104" t="b">
        <v>0</v>
      </c>
    </row>
    <row r="105" spans="1:18" x14ac:dyDescent="0.3">
      <c r="A105" t="s">
        <v>318</v>
      </c>
      <c r="B105" s="1">
        <v>44681</v>
      </c>
      <c r="C105" t="s">
        <v>30</v>
      </c>
      <c r="D105" t="str">
        <f>IF(Table1[[#This Row],[Status]]="Cancelled","Cancelled","Completed")</f>
        <v>Completed</v>
      </c>
      <c r="E105" t="s">
        <v>19</v>
      </c>
      <c r="F105" t="s">
        <v>20</v>
      </c>
      <c r="G105" t="s">
        <v>21</v>
      </c>
      <c r="H105" t="s">
        <v>319</v>
      </c>
      <c r="I105" t="s">
        <v>50</v>
      </c>
      <c r="J105" t="s">
        <v>105</v>
      </c>
      <c r="K105" t="s">
        <v>34</v>
      </c>
      <c r="L105">
        <v>1</v>
      </c>
      <c r="M105">
        <v>518</v>
      </c>
      <c r="N105" t="s">
        <v>25</v>
      </c>
      <c r="O105" t="s">
        <v>26</v>
      </c>
      <c r="P105" t="s">
        <v>27</v>
      </c>
      <c r="Q105" t="b">
        <v>0</v>
      </c>
      <c r="R105" t="s">
        <v>28</v>
      </c>
    </row>
    <row r="106" spans="1:18" x14ac:dyDescent="0.3">
      <c r="A106" t="s">
        <v>320</v>
      </c>
      <c r="B106" s="1">
        <v>44681</v>
      </c>
      <c r="C106" t="s">
        <v>34</v>
      </c>
      <c r="D106" t="str">
        <f>IF(Table1[[#This Row],[Status]]="Cancelled","Cancelled","Completed")</f>
        <v>Completed</v>
      </c>
      <c r="E106" t="s">
        <v>38</v>
      </c>
      <c r="F106" t="s">
        <v>20</v>
      </c>
      <c r="G106" t="s">
        <v>39</v>
      </c>
      <c r="H106" t="s">
        <v>169</v>
      </c>
      <c r="I106" t="s">
        <v>23</v>
      </c>
      <c r="J106" t="s">
        <v>46</v>
      </c>
      <c r="K106" t="s">
        <v>34</v>
      </c>
      <c r="L106">
        <v>1</v>
      </c>
      <c r="M106">
        <v>788</v>
      </c>
      <c r="N106" t="s">
        <v>92</v>
      </c>
      <c r="O106" t="s">
        <v>93</v>
      </c>
      <c r="P106" t="s">
        <v>27</v>
      </c>
      <c r="Q106" t="b">
        <v>0</v>
      </c>
    </row>
    <row r="107" spans="1:18" x14ac:dyDescent="0.3">
      <c r="A107" t="s">
        <v>321</v>
      </c>
      <c r="B107" s="1">
        <v>44681</v>
      </c>
      <c r="C107" t="s">
        <v>34</v>
      </c>
      <c r="D107" t="str">
        <f>IF(Table1[[#This Row],[Status]]="Cancelled","Cancelled","Completed")</f>
        <v>Completed</v>
      </c>
      <c r="E107" t="s">
        <v>38</v>
      </c>
      <c r="F107" t="s">
        <v>20</v>
      </c>
      <c r="G107" t="s">
        <v>39</v>
      </c>
      <c r="H107" t="s">
        <v>322</v>
      </c>
      <c r="I107" t="s">
        <v>32</v>
      </c>
      <c r="J107" t="s">
        <v>105</v>
      </c>
      <c r="K107" t="s">
        <v>34</v>
      </c>
      <c r="L107">
        <v>1</v>
      </c>
      <c r="M107">
        <v>318</v>
      </c>
      <c r="N107" t="s">
        <v>62</v>
      </c>
      <c r="O107" t="s">
        <v>63</v>
      </c>
      <c r="P107" t="s">
        <v>27</v>
      </c>
      <c r="Q107" t="b">
        <v>0</v>
      </c>
    </row>
    <row r="108" spans="1:18" x14ac:dyDescent="0.3">
      <c r="A108" t="s">
        <v>323</v>
      </c>
      <c r="B108" s="1">
        <v>44681</v>
      </c>
      <c r="C108" t="s">
        <v>34</v>
      </c>
      <c r="D108" t="str">
        <f>IF(Table1[[#This Row],[Status]]="Cancelled","Cancelled","Completed")</f>
        <v>Completed</v>
      </c>
      <c r="E108" t="s">
        <v>38</v>
      </c>
      <c r="F108" t="s">
        <v>20</v>
      </c>
      <c r="G108" t="s">
        <v>39</v>
      </c>
      <c r="H108" t="s">
        <v>324</v>
      </c>
      <c r="I108" t="s">
        <v>23</v>
      </c>
      <c r="J108" t="s">
        <v>72</v>
      </c>
      <c r="K108" t="s">
        <v>34</v>
      </c>
      <c r="L108">
        <v>1</v>
      </c>
      <c r="M108">
        <v>597</v>
      </c>
      <c r="N108" t="s">
        <v>62</v>
      </c>
      <c r="O108" t="s">
        <v>63</v>
      </c>
      <c r="P108" t="s">
        <v>27</v>
      </c>
      <c r="Q108" t="b">
        <v>0</v>
      </c>
    </row>
    <row r="109" spans="1:18" x14ac:dyDescent="0.3">
      <c r="A109" t="s">
        <v>325</v>
      </c>
      <c r="B109" s="1">
        <v>44681</v>
      </c>
      <c r="C109" t="s">
        <v>34</v>
      </c>
      <c r="D109" t="str">
        <f>IF(Table1[[#This Row],[Status]]="Cancelled","Cancelled","Completed")</f>
        <v>Completed</v>
      </c>
      <c r="E109" t="s">
        <v>38</v>
      </c>
      <c r="F109" t="s">
        <v>20</v>
      </c>
      <c r="G109" t="s">
        <v>39</v>
      </c>
      <c r="H109" t="s">
        <v>326</v>
      </c>
      <c r="I109" t="s">
        <v>23</v>
      </c>
      <c r="J109" t="s">
        <v>24</v>
      </c>
      <c r="K109" t="s">
        <v>34</v>
      </c>
      <c r="L109">
        <v>1</v>
      </c>
      <c r="M109">
        <v>888</v>
      </c>
      <c r="N109" t="s">
        <v>282</v>
      </c>
      <c r="O109" t="s">
        <v>283</v>
      </c>
      <c r="P109" t="s">
        <v>27</v>
      </c>
      <c r="Q109" t="b">
        <v>0</v>
      </c>
    </row>
    <row r="110" spans="1:18" x14ac:dyDescent="0.3">
      <c r="A110" t="s">
        <v>327</v>
      </c>
      <c r="B110" s="1">
        <v>44681</v>
      </c>
      <c r="C110" t="s">
        <v>34</v>
      </c>
      <c r="D110" t="str">
        <f>IF(Table1[[#This Row],[Status]]="Cancelled","Cancelled","Completed")</f>
        <v>Completed</v>
      </c>
      <c r="E110" t="s">
        <v>38</v>
      </c>
      <c r="F110" t="s">
        <v>20</v>
      </c>
      <c r="G110" t="s">
        <v>39</v>
      </c>
      <c r="H110" t="s">
        <v>328</v>
      </c>
      <c r="I110" t="s">
        <v>32</v>
      </c>
      <c r="J110" t="s">
        <v>24</v>
      </c>
      <c r="K110" t="s">
        <v>34</v>
      </c>
      <c r="L110">
        <v>1</v>
      </c>
      <c r="M110">
        <v>406</v>
      </c>
      <c r="N110" t="s">
        <v>329</v>
      </c>
      <c r="O110" t="s">
        <v>63</v>
      </c>
      <c r="P110" t="s">
        <v>27</v>
      </c>
      <c r="Q110" t="b">
        <v>0</v>
      </c>
    </row>
    <row r="111" spans="1:18" x14ac:dyDescent="0.3">
      <c r="A111" t="s">
        <v>330</v>
      </c>
      <c r="B111" s="1">
        <v>44681</v>
      </c>
      <c r="C111" t="s">
        <v>34</v>
      </c>
      <c r="D111" t="str">
        <f>IF(Table1[[#This Row],[Status]]="Cancelled","Cancelled","Completed")</f>
        <v>Completed</v>
      </c>
      <c r="E111" t="s">
        <v>38</v>
      </c>
      <c r="F111" t="s">
        <v>20</v>
      </c>
      <c r="G111" t="s">
        <v>39</v>
      </c>
      <c r="H111" t="s">
        <v>331</v>
      </c>
      <c r="I111" t="s">
        <v>23</v>
      </c>
      <c r="J111" t="s">
        <v>105</v>
      </c>
      <c r="K111" t="s">
        <v>34</v>
      </c>
      <c r="L111">
        <v>1</v>
      </c>
      <c r="M111">
        <v>1186</v>
      </c>
      <c r="N111" t="s">
        <v>332</v>
      </c>
      <c r="O111" t="s">
        <v>263</v>
      </c>
      <c r="P111" t="s">
        <v>27</v>
      </c>
      <c r="Q111" t="b">
        <v>0</v>
      </c>
    </row>
    <row r="112" spans="1:18" x14ac:dyDescent="0.3">
      <c r="A112" t="s">
        <v>333</v>
      </c>
      <c r="B112" s="1">
        <v>44681</v>
      </c>
      <c r="C112" t="s">
        <v>18</v>
      </c>
      <c r="D112" t="str">
        <f>IF(Table1[[#This Row],[Status]]="Cancelled","Cancelled","Completed")</f>
        <v>Cancelled</v>
      </c>
      <c r="E112" t="s">
        <v>38</v>
      </c>
      <c r="F112" t="s">
        <v>20</v>
      </c>
      <c r="G112" t="s">
        <v>39</v>
      </c>
      <c r="H112" t="s">
        <v>334</v>
      </c>
      <c r="I112" t="s">
        <v>45</v>
      </c>
      <c r="J112" t="s">
        <v>66</v>
      </c>
      <c r="K112" t="s">
        <v>335</v>
      </c>
      <c r="L112">
        <v>1</v>
      </c>
      <c r="M112">
        <v>791</v>
      </c>
      <c r="N112" t="s">
        <v>252</v>
      </c>
      <c r="O112" t="s">
        <v>222</v>
      </c>
      <c r="P112" t="s">
        <v>27</v>
      </c>
      <c r="Q112" t="b">
        <v>0</v>
      </c>
    </row>
    <row r="113" spans="1:18" x14ac:dyDescent="0.3">
      <c r="A113" t="s">
        <v>333</v>
      </c>
      <c r="B113" s="1">
        <v>44681</v>
      </c>
      <c r="C113" t="s">
        <v>18</v>
      </c>
      <c r="D113" t="str">
        <f>IF(Table1[[#This Row],[Status]]="Cancelled","Cancelled","Completed")</f>
        <v>Cancelled</v>
      </c>
      <c r="E113" t="s">
        <v>38</v>
      </c>
      <c r="F113" t="s">
        <v>20</v>
      </c>
      <c r="G113" t="s">
        <v>39</v>
      </c>
      <c r="H113" t="s">
        <v>336</v>
      </c>
      <c r="I113" t="s">
        <v>45</v>
      </c>
      <c r="J113" t="s">
        <v>41</v>
      </c>
      <c r="K113" t="s">
        <v>335</v>
      </c>
      <c r="L113">
        <v>1</v>
      </c>
      <c r="M113">
        <v>807</v>
      </c>
      <c r="N113" t="s">
        <v>252</v>
      </c>
      <c r="O113" t="s">
        <v>222</v>
      </c>
      <c r="P113" t="s">
        <v>27</v>
      </c>
      <c r="Q113" t="b">
        <v>0</v>
      </c>
    </row>
    <row r="114" spans="1:18" x14ac:dyDescent="0.3">
      <c r="A114" t="s">
        <v>333</v>
      </c>
      <c r="B114" s="1">
        <v>44681</v>
      </c>
      <c r="C114" t="s">
        <v>18</v>
      </c>
      <c r="D114" t="str">
        <f>IF(Table1[[#This Row],[Status]]="Cancelled","Cancelled","Completed")</f>
        <v>Cancelled</v>
      </c>
      <c r="E114" t="s">
        <v>38</v>
      </c>
      <c r="F114" t="s">
        <v>20</v>
      </c>
      <c r="G114" t="s">
        <v>39</v>
      </c>
      <c r="H114" t="s">
        <v>337</v>
      </c>
      <c r="I114" t="s">
        <v>45</v>
      </c>
      <c r="J114" t="s">
        <v>66</v>
      </c>
      <c r="K114" t="s">
        <v>335</v>
      </c>
      <c r="L114">
        <v>1</v>
      </c>
      <c r="M114">
        <v>807</v>
      </c>
      <c r="N114" t="s">
        <v>252</v>
      </c>
      <c r="O114" t="s">
        <v>222</v>
      </c>
      <c r="P114" t="s">
        <v>27</v>
      </c>
      <c r="Q114" t="b">
        <v>0</v>
      </c>
    </row>
    <row r="115" spans="1:18" x14ac:dyDescent="0.3">
      <c r="A115" t="s">
        <v>338</v>
      </c>
      <c r="B115" s="1">
        <v>44681</v>
      </c>
      <c r="C115" t="s">
        <v>34</v>
      </c>
      <c r="D115" t="str">
        <f>IF(Table1[[#This Row],[Status]]="Cancelled","Cancelled","Completed")</f>
        <v>Completed</v>
      </c>
      <c r="E115" t="s">
        <v>38</v>
      </c>
      <c r="F115" t="s">
        <v>20</v>
      </c>
      <c r="G115" t="s">
        <v>39</v>
      </c>
      <c r="H115" t="s">
        <v>339</v>
      </c>
      <c r="I115" t="s">
        <v>32</v>
      </c>
      <c r="J115" t="s">
        <v>24</v>
      </c>
      <c r="K115" t="s">
        <v>34</v>
      </c>
      <c r="L115">
        <v>1</v>
      </c>
      <c r="M115">
        <v>311</v>
      </c>
      <c r="N115" t="s">
        <v>172</v>
      </c>
      <c r="O115" t="s">
        <v>173</v>
      </c>
      <c r="P115" t="s">
        <v>27</v>
      </c>
      <c r="Q115" t="b">
        <v>0</v>
      </c>
    </row>
    <row r="116" spans="1:18" x14ac:dyDescent="0.3">
      <c r="A116" t="s">
        <v>340</v>
      </c>
      <c r="B116" s="1">
        <v>44681</v>
      </c>
      <c r="C116" t="s">
        <v>34</v>
      </c>
      <c r="D116" t="str">
        <f>IF(Table1[[#This Row],[Status]]="Cancelled","Cancelled","Completed")</f>
        <v>Completed</v>
      </c>
      <c r="E116" t="s">
        <v>38</v>
      </c>
      <c r="F116" t="s">
        <v>20</v>
      </c>
      <c r="G116" t="s">
        <v>39</v>
      </c>
      <c r="H116" t="s">
        <v>341</v>
      </c>
      <c r="I116" t="s">
        <v>50</v>
      </c>
      <c r="J116" t="s">
        <v>41</v>
      </c>
      <c r="K116" t="s">
        <v>34</v>
      </c>
      <c r="L116">
        <v>1</v>
      </c>
      <c r="M116">
        <v>387</v>
      </c>
      <c r="N116" t="s">
        <v>25</v>
      </c>
      <c r="O116" t="s">
        <v>26</v>
      </c>
      <c r="P116" t="s">
        <v>27</v>
      </c>
      <c r="Q116" t="b">
        <v>0</v>
      </c>
    </row>
    <row r="117" spans="1:18" x14ac:dyDescent="0.3">
      <c r="A117" t="s">
        <v>342</v>
      </c>
      <c r="B117" s="1">
        <v>44681</v>
      </c>
      <c r="C117" t="s">
        <v>34</v>
      </c>
      <c r="D117" t="str">
        <f>IF(Table1[[#This Row],[Status]]="Cancelled","Cancelled","Completed")</f>
        <v>Completed</v>
      </c>
      <c r="E117" t="s">
        <v>38</v>
      </c>
      <c r="F117" t="s">
        <v>20</v>
      </c>
      <c r="G117" t="s">
        <v>39</v>
      </c>
      <c r="H117" t="s">
        <v>343</v>
      </c>
      <c r="I117" t="s">
        <v>32</v>
      </c>
      <c r="J117" t="s">
        <v>24</v>
      </c>
      <c r="K117" t="s">
        <v>34</v>
      </c>
      <c r="L117">
        <v>1</v>
      </c>
      <c r="M117">
        <v>348</v>
      </c>
      <c r="N117" t="s">
        <v>62</v>
      </c>
      <c r="O117" t="s">
        <v>63</v>
      </c>
      <c r="P117" t="s">
        <v>27</v>
      </c>
      <c r="Q117" t="b">
        <v>0</v>
      </c>
    </row>
    <row r="118" spans="1:18" x14ac:dyDescent="0.3">
      <c r="A118" t="s">
        <v>344</v>
      </c>
      <c r="B118" s="1">
        <v>44681</v>
      </c>
      <c r="C118" t="s">
        <v>30</v>
      </c>
      <c r="D118" t="str">
        <f>IF(Table1[[#This Row],[Status]]="Cancelled","Cancelled","Completed")</f>
        <v>Completed</v>
      </c>
      <c r="E118" t="s">
        <v>19</v>
      </c>
      <c r="F118" t="s">
        <v>20</v>
      </c>
      <c r="G118" t="s">
        <v>21</v>
      </c>
      <c r="H118" t="s">
        <v>345</v>
      </c>
      <c r="I118" t="s">
        <v>23</v>
      </c>
      <c r="J118" t="s">
        <v>24</v>
      </c>
      <c r="K118" t="s">
        <v>34</v>
      </c>
      <c r="L118">
        <v>1</v>
      </c>
      <c r="M118">
        <v>597</v>
      </c>
      <c r="N118" t="s">
        <v>346</v>
      </c>
      <c r="O118" t="s">
        <v>114</v>
      </c>
      <c r="P118" t="s">
        <v>27</v>
      </c>
      <c r="Q118" t="b">
        <v>0</v>
      </c>
      <c r="R118" t="s">
        <v>28</v>
      </c>
    </row>
    <row r="119" spans="1:18" x14ac:dyDescent="0.3">
      <c r="A119" t="s">
        <v>344</v>
      </c>
      <c r="B119" s="1">
        <v>44681</v>
      </c>
      <c r="C119" t="s">
        <v>30</v>
      </c>
      <c r="D119" t="str">
        <f>IF(Table1[[#This Row],[Status]]="Cancelled","Cancelled","Completed")</f>
        <v>Completed</v>
      </c>
      <c r="E119" t="s">
        <v>19</v>
      </c>
      <c r="F119" t="s">
        <v>20</v>
      </c>
      <c r="G119" t="s">
        <v>21</v>
      </c>
      <c r="H119" t="s">
        <v>347</v>
      </c>
      <c r="I119" t="s">
        <v>23</v>
      </c>
      <c r="J119" t="s">
        <v>24</v>
      </c>
      <c r="K119" t="s">
        <v>34</v>
      </c>
      <c r="L119">
        <v>1</v>
      </c>
      <c r="M119">
        <v>549</v>
      </c>
      <c r="N119" t="s">
        <v>346</v>
      </c>
      <c r="O119" t="s">
        <v>114</v>
      </c>
      <c r="P119" t="s">
        <v>27</v>
      </c>
      <c r="Q119" t="b">
        <v>0</v>
      </c>
      <c r="R119" t="s">
        <v>28</v>
      </c>
    </row>
    <row r="120" spans="1:18" x14ac:dyDescent="0.3">
      <c r="A120" t="s">
        <v>348</v>
      </c>
      <c r="B120" s="1">
        <v>44681</v>
      </c>
      <c r="C120" t="s">
        <v>34</v>
      </c>
      <c r="D120" t="str">
        <f>IF(Table1[[#This Row],[Status]]="Cancelled","Cancelled","Completed")</f>
        <v>Completed</v>
      </c>
      <c r="E120" t="s">
        <v>38</v>
      </c>
      <c r="F120" t="s">
        <v>20</v>
      </c>
      <c r="G120" t="s">
        <v>39</v>
      </c>
      <c r="H120" t="s">
        <v>349</v>
      </c>
      <c r="I120" t="s">
        <v>23</v>
      </c>
      <c r="J120" t="s">
        <v>33</v>
      </c>
      <c r="K120" t="s">
        <v>34</v>
      </c>
      <c r="L120">
        <v>1</v>
      </c>
      <c r="M120">
        <v>635</v>
      </c>
      <c r="N120" t="s">
        <v>350</v>
      </c>
      <c r="O120" t="s">
        <v>36</v>
      </c>
      <c r="P120" t="s">
        <v>27</v>
      </c>
      <c r="Q120" t="b">
        <v>0</v>
      </c>
    </row>
    <row r="121" spans="1:18" x14ac:dyDescent="0.3">
      <c r="A121" t="s">
        <v>351</v>
      </c>
      <c r="B121" s="1">
        <v>44681</v>
      </c>
      <c r="C121" t="s">
        <v>34</v>
      </c>
      <c r="D121" t="str">
        <f>IF(Table1[[#This Row],[Status]]="Cancelled","Cancelled","Completed")</f>
        <v>Completed</v>
      </c>
      <c r="E121" t="s">
        <v>38</v>
      </c>
      <c r="F121" t="s">
        <v>20</v>
      </c>
      <c r="G121" t="s">
        <v>39</v>
      </c>
      <c r="H121" t="s">
        <v>203</v>
      </c>
      <c r="I121" t="s">
        <v>23</v>
      </c>
      <c r="J121" t="s">
        <v>72</v>
      </c>
      <c r="K121" t="s">
        <v>34</v>
      </c>
      <c r="L121">
        <v>1</v>
      </c>
      <c r="M121">
        <v>597</v>
      </c>
      <c r="N121" t="s">
        <v>352</v>
      </c>
      <c r="O121" t="s">
        <v>353</v>
      </c>
      <c r="P121" t="s">
        <v>27</v>
      </c>
      <c r="Q121" t="b">
        <v>0</v>
      </c>
    </row>
    <row r="122" spans="1:18" x14ac:dyDescent="0.3">
      <c r="A122" t="s">
        <v>354</v>
      </c>
      <c r="B122" s="1">
        <v>44681</v>
      </c>
      <c r="C122" t="s">
        <v>34</v>
      </c>
      <c r="D122" t="str">
        <f>IF(Table1[[#This Row],[Status]]="Cancelled","Cancelled","Completed")</f>
        <v>Completed</v>
      </c>
      <c r="E122" t="s">
        <v>38</v>
      </c>
      <c r="F122" t="s">
        <v>20</v>
      </c>
      <c r="G122" t="s">
        <v>39</v>
      </c>
      <c r="H122" t="s">
        <v>355</v>
      </c>
      <c r="I122" t="s">
        <v>23</v>
      </c>
      <c r="J122" t="s">
        <v>24</v>
      </c>
      <c r="K122" t="s">
        <v>34</v>
      </c>
      <c r="L122">
        <v>1</v>
      </c>
      <c r="M122">
        <v>790</v>
      </c>
      <c r="N122" t="s">
        <v>356</v>
      </c>
      <c r="O122" t="s">
        <v>163</v>
      </c>
      <c r="P122" t="s">
        <v>27</v>
      </c>
      <c r="Q122" t="b">
        <v>0</v>
      </c>
    </row>
    <row r="123" spans="1:18" x14ac:dyDescent="0.3">
      <c r="A123" t="s">
        <v>357</v>
      </c>
      <c r="B123" s="1">
        <v>44681</v>
      </c>
      <c r="C123" t="s">
        <v>34</v>
      </c>
      <c r="D123" t="str">
        <f>IF(Table1[[#This Row],[Status]]="Cancelled","Cancelled","Completed")</f>
        <v>Completed</v>
      </c>
      <c r="E123" t="s">
        <v>38</v>
      </c>
      <c r="F123" t="s">
        <v>20</v>
      </c>
      <c r="G123" t="s">
        <v>39</v>
      </c>
      <c r="H123" t="s">
        <v>358</v>
      </c>
      <c r="I123" t="s">
        <v>32</v>
      </c>
      <c r="J123" t="s">
        <v>66</v>
      </c>
      <c r="K123" t="s">
        <v>34</v>
      </c>
      <c r="L123">
        <v>1</v>
      </c>
      <c r="M123">
        <v>375</v>
      </c>
      <c r="N123" t="s">
        <v>359</v>
      </c>
      <c r="O123" t="s">
        <v>114</v>
      </c>
      <c r="P123" t="s">
        <v>27</v>
      </c>
      <c r="Q123" t="b">
        <v>0</v>
      </c>
    </row>
    <row r="124" spans="1:18" x14ac:dyDescent="0.3">
      <c r="A124" t="s">
        <v>360</v>
      </c>
      <c r="B124" s="1">
        <v>44681</v>
      </c>
      <c r="C124" t="s">
        <v>34</v>
      </c>
      <c r="D124" t="str">
        <f>IF(Table1[[#This Row],[Status]]="Cancelled","Cancelled","Completed")</f>
        <v>Completed</v>
      </c>
      <c r="E124" t="s">
        <v>38</v>
      </c>
      <c r="F124" t="s">
        <v>20</v>
      </c>
      <c r="G124" t="s">
        <v>39</v>
      </c>
      <c r="H124" t="s">
        <v>361</v>
      </c>
      <c r="I124" t="s">
        <v>23</v>
      </c>
      <c r="J124" t="s">
        <v>72</v>
      </c>
      <c r="K124" t="s">
        <v>34</v>
      </c>
      <c r="L124">
        <v>1</v>
      </c>
      <c r="M124">
        <v>1115</v>
      </c>
      <c r="N124" t="s">
        <v>62</v>
      </c>
      <c r="O124" t="s">
        <v>63</v>
      </c>
      <c r="P124" t="s">
        <v>27</v>
      </c>
      <c r="Q124" t="b">
        <v>0</v>
      </c>
    </row>
    <row r="125" spans="1:18" x14ac:dyDescent="0.3">
      <c r="A125" t="s">
        <v>362</v>
      </c>
      <c r="B125" s="1">
        <v>44681</v>
      </c>
      <c r="C125" t="s">
        <v>30</v>
      </c>
      <c r="D125" t="str">
        <f>IF(Table1[[#This Row],[Status]]="Cancelled","Cancelled","Completed")</f>
        <v>Completed</v>
      </c>
      <c r="E125" t="s">
        <v>19</v>
      </c>
      <c r="F125" t="s">
        <v>20</v>
      </c>
      <c r="G125" t="s">
        <v>21</v>
      </c>
      <c r="H125" t="s">
        <v>363</v>
      </c>
      <c r="I125" t="s">
        <v>32</v>
      </c>
      <c r="J125" t="s">
        <v>33</v>
      </c>
      <c r="K125" t="s">
        <v>34</v>
      </c>
      <c r="L125">
        <v>1</v>
      </c>
      <c r="M125">
        <v>579</v>
      </c>
      <c r="N125" t="s">
        <v>35</v>
      </c>
      <c r="O125" t="s">
        <v>36</v>
      </c>
      <c r="P125" t="s">
        <v>27</v>
      </c>
      <c r="Q125" t="b">
        <v>0</v>
      </c>
      <c r="R125" t="s">
        <v>28</v>
      </c>
    </row>
    <row r="126" spans="1:18" x14ac:dyDescent="0.3">
      <c r="A126" t="s">
        <v>364</v>
      </c>
      <c r="B126" s="1">
        <v>44681</v>
      </c>
      <c r="C126" t="s">
        <v>34</v>
      </c>
      <c r="D126" t="str">
        <f>IF(Table1[[#This Row],[Status]]="Cancelled","Cancelled","Completed")</f>
        <v>Completed</v>
      </c>
      <c r="E126" t="s">
        <v>38</v>
      </c>
      <c r="F126" t="s">
        <v>20</v>
      </c>
      <c r="G126" t="s">
        <v>39</v>
      </c>
      <c r="H126" t="s">
        <v>365</v>
      </c>
      <c r="I126" t="s">
        <v>23</v>
      </c>
      <c r="J126" t="s">
        <v>66</v>
      </c>
      <c r="K126" t="s">
        <v>34</v>
      </c>
      <c r="L126">
        <v>1</v>
      </c>
      <c r="M126">
        <v>788</v>
      </c>
      <c r="N126" t="s">
        <v>366</v>
      </c>
      <c r="O126" t="s">
        <v>52</v>
      </c>
      <c r="P126" t="s">
        <v>27</v>
      </c>
      <c r="Q126" t="b">
        <v>0</v>
      </c>
    </row>
    <row r="127" spans="1:18" x14ac:dyDescent="0.3">
      <c r="A127" t="s">
        <v>367</v>
      </c>
      <c r="B127" s="1">
        <v>44681</v>
      </c>
      <c r="C127" t="s">
        <v>34</v>
      </c>
      <c r="D127" t="str">
        <f>IF(Table1[[#This Row],[Status]]="Cancelled","Cancelled","Completed")</f>
        <v>Completed</v>
      </c>
      <c r="E127" t="s">
        <v>38</v>
      </c>
      <c r="F127" t="s">
        <v>20</v>
      </c>
      <c r="G127" t="s">
        <v>39</v>
      </c>
      <c r="H127" t="s">
        <v>368</v>
      </c>
      <c r="I127" t="s">
        <v>23</v>
      </c>
      <c r="J127" t="s">
        <v>105</v>
      </c>
      <c r="K127" t="s">
        <v>34</v>
      </c>
      <c r="L127">
        <v>1</v>
      </c>
      <c r="M127">
        <v>597</v>
      </c>
      <c r="N127" t="s">
        <v>369</v>
      </c>
      <c r="O127" t="s">
        <v>52</v>
      </c>
      <c r="P127" t="s">
        <v>27</v>
      </c>
      <c r="Q127" t="b">
        <v>0</v>
      </c>
    </row>
    <row r="128" spans="1:18" x14ac:dyDescent="0.3">
      <c r="A128" t="s">
        <v>370</v>
      </c>
      <c r="B128" s="1">
        <v>44681</v>
      </c>
      <c r="C128" t="s">
        <v>34</v>
      </c>
      <c r="D128" t="str">
        <f>IF(Table1[[#This Row],[Status]]="Cancelled","Cancelled","Completed")</f>
        <v>Completed</v>
      </c>
      <c r="E128" t="s">
        <v>38</v>
      </c>
      <c r="F128" t="s">
        <v>20</v>
      </c>
      <c r="G128" t="s">
        <v>39</v>
      </c>
      <c r="H128" t="s">
        <v>371</v>
      </c>
      <c r="I128" t="s">
        <v>32</v>
      </c>
      <c r="J128" t="s">
        <v>105</v>
      </c>
      <c r="K128" t="s">
        <v>34</v>
      </c>
      <c r="L128">
        <v>1</v>
      </c>
      <c r="M128">
        <v>517</v>
      </c>
      <c r="N128" t="s">
        <v>121</v>
      </c>
      <c r="O128" t="s">
        <v>372</v>
      </c>
      <c r="P128" t="s">
        <v>27</v>
      </c>
      <c r="Q128" t="b">
        <v>0</v>
      </c>
    </row>
    <row r="129" spans="1:18" x14ac:dyDescent="0.3">
      <c r="A129" t="s">
        <v>373</v>
      </c>
      <c r="B129" s="1">
        <v>44681</v>
      </c>
      <c r="C129" t="s">
        <v>34</v>
      </c>
      <c r="D129" t="str">
        <f>IF(Table1[[#This Row],[Status]]="Cancelled","Cancelled","Completed")</f>
        <v>Completed</v>
      </c>
      <c r="E129" t="s">
        <v>38</v>
      </c>
      <c r="F129" t="s">
        <v>20</v>
      </c>
      <c r="G129" t="s">
        <v>39</v>
      </c>
      <c r="H129" t="s">
        <v>374</v>
      </c>
      <c r="I129" t="s">
        <v>32</v>
      </c>
      <c r="J129" t="s">
        <v>66</v>
      </c>
      <c r="K129" t="s">
        <v>34</v>
      </c>
      <c r="L129">
        <v>1</v>
      </c>
      <c r="M129">
        <v>442</v>
      </c>
      <c r="N129" t="s">
        <v>51</v>
      </c>
      <c r="O129" t="s">
        <v>52</v>
      </c>
      <c r="P129" t="s">
        <v>27</v>
      </c>
      <c r="Q129" t="b">
        <v>0</v>
      </c>
    </row>
    <row r="130" spans="1:18" x14ac:dyDescent="0.3">
      <c r="A130" t="s">
        <v>375</v>
      </c>
      <c r="B130" s="1">
        <v>44681</v>
      </c>
      <c r="C130" t="s">
        <v>34</v>
      </c>
      <c r="D130" t="str">
        <f>IF(Table1[[#This Row],[Status]]="Cancelled","Cancelled","Completed")</f>
        <v>Completed</v>
      </c>
      <c r="E130" t="s">
        <v>38</v>
      </c>
      <c r="F130" t="s">
        <v>20</v>
      </c>
      <c r="G130" t="s">
        <v>39</v>
      </c>
      <c r="H130" t="s">
        <v>376</v>
      </c>
      <c r="I130" t="s">
        <v>32</v>
      </c>
      <c r="J130" t="s">
        <v>33</v>
      </c>
      <c r="K130" t="s">
        <v>34</v>
      </c>
      <c r="L130">
        <v>1</v>
      </c>
      <c r="M130">
        <v>399</v>
      </c>
      <c r="N130" t="s">
        <v>377</v>
      </c>
      <c r="O130" t="s">
        <v>56</v>
      </c>
      <c r="P130" t="s">
        <v>27</v>
      </c>
      <c r="Q130" t="b">
        <v>0</v>
      </c>
    </row>
    <row r="131" spans="1:18" x14ac:dyDescent="0.3">
      <c r="A131" t="s">
        <v>378</v>
      </c>
      <c r="B131" s="1">
        <v>44681</v>
      </c>
      <c r="C131" t="s">
        <v>34</v>
      </c>
      <c r="D131" t="str">
        <f>IF(Table1[[#This Row],[Status]]="Cancelled","Cancelled","Completed")</f>
        <v>Completed</v>
      </c>
      <c r="E131" t="s">
        <v>38</v>
      </c>
      <c r="F131" t="s">
        <v>20</v>
      </c>
      <c r="G131" t="s">
        <v>39</v>
      </c>
      <c r="H131" t="s">
        <v>379</v>
      </c>
      <c r="I131" t="s">
        <v>32</v>
      </c>
      <c r="J131" t="s">
        <v>66</v>
      </c>
      <c r="K131" t="s">
        <v>34</v>
      </c>
      <c r="L131">
        <v>1</v>
      </c>
      <c r="M131">
        <v>518</v>
      </c>
      <c r="N131" t="s">
        <v>35</v>
      </c>
      <c r="O131" t="s">
        <v>36</v>
      </c>
      <c r="P131" t="s">
        <v>27</v>
      </c>
      <c r="Q131" t="b">
        <v>0</v>
      </c>
    </row>
    <row r="132" spans="1:18" x14ac:dyDescent="0.3">
      <c r="A132" t="s">
        <v>380</v>
      </c>
      <c r="B132" s="1">
        <v>44681</v>
      </c>
      <c r="C132" t="s">
        <v>34</v>
      </c>
      <c r="D132" t="str">
        <f>IF(Table1[[#This Row],[Status]]="Cancelled","Cancelled","Completed")</f>
        <v>Completed</v>
      </c>
      <c r="E132" t="s">
        <v>38</v>
      </c>
      <c r="F132" t="s">
        <v>20</v>
      </c>
      <c r="G132" t="s">
        <v>39</v>
      </c>
      <c r="H132" t="s">
        <v>381</v>
      </c>
      <c r="I132" t="s">
        <v>32</v>
      </c>
      <c r="J132" t="s">
        <v>105</v>
      </c>
      <c r="K132" t="s">
        <v>34</v>
      </c>
      <c r="L132">
        <v>1</v>
      </c>
      <c r="M132">
        <v>348</v>
      </c>
      <c r="N132" t="s">
        <v>382</v>
      </c>
      <c r="O132" t="s">
        <v>52</v>
      </c>
      <c r="P132" t="s">
        <v>27</v>
      </c>
      <c r="Q132" t="b">
        <v>0</v>
      </c>
    </row>
    <row r="133" spans="1:18" x14ac:dyDescent="0.3">
      <c r="A133" t="s">
        <v>383</v>
      </c>
      <c r="B133" s="1">
        <v>44681</v>
      </c>
      <c r="C133" t="s">
        <v>30</v>
      </c>
      <c r="D133" t="str">
        <f>IF(Table1[[#This Row],[Status]]="Cancelled","Cancelled","Completed")</f>
        <v>Completed</v>
      </c>
      <c r="E133" t="s">
        <v>19</v>
      </c>
      <c r="F133" t="s">
        <v>20</v>
      </c>
      <c r="G133" t="s">
        <v>21</v>
      </c>
      <c r="H133" t="s">
        <v>384</v>
      </c>
      <c r="I133" t="s">
        <v>23</v>
      </c>
      <c r="J133" t="s">
        <v>105</v>
      </c>
      <c r="K133" t="s">
        <v>34</v>
      </c>
      <c r="L133">
        <v>1</v>
      </c>
      <c r="M133">
        <v>788</v>
      </c>
      <c r="N133" t="s">
        <v>385</v>
      </c>
      <c r="O133" t="s">
        <v>122</v>
      </c>
      <c r="P133" t="s">
        <v>27</v>
      </c>
      <c r="Q133" t="b">
        <v>0</v>
      </c>
      <c r="R133" t="s">
        <v>28</v>
      </c>
    </row>
    <row r="134" spans="1:18" x14ac:dyDescent="0.3">
      <c r="A134" t="s">
        <v>386</v>
      </c>
      <c r="B134" s="1">
        <v>44681</v>
      </c>
      <c r="C134" t="s">
        <v>34</v>
      </c>
      <c r="D134" t="str">
        <f>IF(Table1[[#This Row],[Status]]="Cancelled","Cancelled","Completed")</f>
        <v>Completed</v>
      </c>
      <c r="E134" t="s">
        <v>38</v>
      </c>
      <c r="F134" t="s">
        <v>20</v>
      </c>
      <c r="G134" t="s">
        <v>39</v>
      </c>
      <c r="H134" t="s">
        <v>368</v>
      </c>
      <c r="I134" t="s">
        <v>23</v>
      </c>
      <c r="J134" t="s">
        <v>105</v>
      </c>
      <c r="K134" t="s">
        <v>34</v>
      </c>
      <c r="L134">
        <v>1</v>
      </c>
      <c r="M134">
        <v>597</v>
      </c>
      <c r="N134" t="s">
        <v>387</v>
      </c>
      <c r="O134" t="s">
        <v>26</v>
      </c>
      <c r="P134" t="s">
        <v>27</v>
      </c>
      <c r="Q134" t="b">
        <v>0</v>
      </c>
    </row>
    <row r="135" spans="1:18" x14ac:dyDescent="0.3">
      <c r="A135" t="s">
        <v>388</v>
      </c>
      <c r="B135" s="1">
        <v>44681</v>
      </c>
      <c r="C135" t="s">
        <v>34</v>
      </c>
      <c r="D135" t="str">
        <f>IF(Table1[[#This Row],[Status]]="Cancelled","Cancelled","Completed")</f>
        <v>Completed</v>
      </c>
      <c r="E135" t="s">
        <v>38</v>
      </c>
      <c r="F135" t="s">
        <v>20</v>
      </c>
      <c r="G135" t="s">
        <v>39</v>
      </c>
      <c r="H135" t="s">
        <v>389</v>
      </c>
      <c r="I135" t="s">
        <v>32</v>
      </c>
      <c r="J135" t="s">
        <v>24</v>
      </c>
      <c r="K135" t="s">
        <v>34</v>
      </c>
      <c r="L135">
        <v>1</v>
      </c>
      <c r="M135">
        <v>696</v>
      </c>
      <c r="N135" t="s">
        <v>92</v>
      </c>
      <c r="O135" t="s">
        <v>93</v>
      </c>
      <c r="P135" t="s">
        <v>27</v>
      </c>
      <c r="Q135" t="b">
        <v>0</v>
      </c>
    </row>
    <row r="136" spans="1:18" x14ac:dyDescent="0.3">
      <c r="A136" t="s">
        <v>390</v>
      </c>
      <c r="B136" s="1">
        <v>44681</v>
      </c>
      <c r="C136" t="s">
        <v>34</v>
      </c>
      <c r="D136" t="str">
        <f>IF(Table1[[#This Row],[Status]]="Cancelled","Cancelled","Completed")</f>
        <v>Completed</v>
      </c>
      <c r="E136" t="s">
        <v>38</v>
      </c>
      <c r="F136" t="s">
        <v>20</v>
      </c>
      <c r="G136" t="s">
        <v>39</v>
      </c>
      <c r="H136" t="s">
        <v>391</v>
      </c>
      <c r="I136" t="s">
        <v>32</v>
      </c>
      <c r="J136" t="s">
        <v>41</v>
      </c>
      <c r="K136" t="s">
        <v>34</v>
      </c>
      <c r="L136">
        <v>1</v>
      </c>
      <c r="M136">
        <v>363</v>
      </c>
      <c r="N136" t="s">
        <v>62</v>
      </c>
      <c r="O136" t="s">
        <v>63</v>
      </c>
      <c r="P136" t="s">
        <v>27</v>
      </c>
      <c r="Q136" t="b">
        <v>0</v>
      </c>
    </row>
    <row r="137" spans="1:18" x14ac:dyDescent="0.3">
      <c r="A137" t="s">
        <v>392</v>
      </c>
      <c r="B137" s="1">
        <v>44681</v>
      </c>
      <c r="C137" t="s">
        <v>34</v>
      </c>
      <c r="D137" t="str">
        <f>IF(Table1[[#This Row],[Status]]="Cancelled","Cancelled","Completed")</f>
        <v>Completed</v>
      </c>
      <c r="E137" t="s">
        <v>38</v>
      </c>
      <c r="F137" t="s">
        <v>20</v>
      </c>
      <c r="G137" t="s">
        <v>21</v>
      </c>
      <c r="H137" t="s">
        <v>393</v>
      </c>
      <c r="I137" t="s">
        <v>32</v>
      </c>
      <c r="J137" t="s">
        <v>41</v>
      </c>
      <c r="K137" t="s">
        <v>34</v>
      </c>
      <c r="L137">
        <v>1</v>
      </c>
      <c r="M137">
        <v>299</v>
      </c>
      <c r="N137" t="s">
        <v>62</v>
      </c>
      <c r="O137" t="s">
        <v>63</v>
      </c>
      <c r="P137" t="s">
        <v>27</v>
      </c>
      <c r="Q137" t="b">
        <v>0</v>
      </c>
    </row>
    <row r="138" spans="1:18" x14ac:dyDescent="0.3">
      <c r="A138" t="s">
        <v>394</v>
      </c>
      <c r="B138" s="1">
        <v>44681</v>
      </c>
      <c r="C138" t="s">
        <v>34</v>
      </c>
      <c r="D138" t="str">
        <f>IF(Table1[[#This Row],[Status]]="Cancelled","Cancelled","Completed")</f>
        <v>Completed</v>
      </c>
      <c r="E138" t="s">
        <v>38</v>
      </c>
      <c r="F138" t="s">
        <v>20</v>
      </c>
      <c r="G138" t="s">
        <v>39</v>
      </c>
      <c r="H138" t="s">
        <v>395</v>
      </c>
      <c r="I138" t="s">
        <v>45</v>
      </c>
      <c r="J138" t="s">
        <v>24</v>
      </c>
      <c r="K138" t="s">
        <v>34</v>
      </c>
      <c r="L138">
        <v>1</v>
      </c>
      <c r="M138">
        <v>690</v>
      </c>
      <c r="N138" t="s">
        <v>129</v>
      </c>
      <c r="O138" t="s">
        <v>114</v>
      </c>
      <c r="P138" t="s">
        <v>27</v>
      </c>
      <c r="Q138" t="b">
        <v>0</v>
      </c>
    </row>
    <row r="139" spans="1:18" x14ac:dyDescent="0.3">
      <c r="A139" t="s">
        <v>396</v>
      </c>
      <c r="B139" s="1">
        <v>44681</v>
      </c>
      <c r="C139" t="s">
        <v>34</v>
      </c>
      <c r="D139" t="str">
        <f>IF(Table1[[#This Row],[Status]]="Cancelled","Cancelled","Completed")</f>
        <v>Completed</v>
      </c>
      <c r="E139" t="s">
        <v>38</v>
      </c>
      <c r="F139" t="s">
        <v>20</v>
      </c>
      <c r="G139" t="s">
        <v>39</v>
      </c>
      <c r="H139" t="s">
        <v>397</v>
      </c>
      <c r="I139" t="s">
        <v>50</v>
      </c>
      <c r="J139" t="s">
        <v>72</v>
      </c>
      <c r="K139" t="s">
        <v>34</v>
      </c>
      <c r="L139">
        <v>1</v>
      </c>
      <c r="M139">
        <v>574</v>
      </c>
      <c r="N139" t="s">
        <v>398</v>
      </c>
      <c r="O139" t="s">
        <v>36</v>
      </c>
      <c r="P139" t="s">
        <v>27</v>
      </c>
      <c r="Q139" t="b">
        <v>0</v>
      </c>
    </row>
    <row r="140" spans="1:18" x14ac:dyDescent="0.3">
      <c r="A140" t="s">
        <v>399</v>
      </c>
      <c r="B140" s="1">
        <v>44681</v>
      </c>
      <c r="C140" t="s">
        <v>30</v>
      </c>
      <c r="D140" t="str">
        <f>IF(Table1[[#This Row],[Status]]="Cancelled","Cancelled","Completed")</f>
        <v>Completed</v>
      </c>
      <c r="E140" t="s">
        <v>19</v>
      </c>
      <c r="F140" t="s">
        <v>20</v>
      </c>
      <c r="G140" t="s">
        <v>21</v>
      </c>
      <c r="H140" t="s">
        <v>400</v>
      </c>
      <c r="I140" t="s">
        <v>23</v>
      </c>
      <c r="J140" t="s">
        <v>105</v>
      </c>
      <c r="K140" t="s">
        <v>34</v>
      </c>
      <c r="L140">
        <v>1</v>
      </c>
      <c r="M140">
        <v>1399</v>
      </c>
      <c r="N140" t="s">
        <v>401</v>
      </c>
      <c r="O140" t="s">
        <v>56</v>
      </c>
      <c r="P140" t="s">
        <v>27</v>
      </c>
      <c r="Q140" t="b">
        <v>0</v>
      </c>
      <c r="R140" t="s">
        <v>28</v>
      </c>
    </row>
    <row r="141" spans="1:18" x14ac:dyDescent="0.3">
      <c r="A141" t="s">
        <v>402</v>
      </c>
      <c r="B141" s="1">
        <v>44681</v>
      </c>
      <c r="C141" t="s">
        <v>30</v>
      </c>
      <c r="D141" t="str">
        <f>IF(Table1[[#This Row],[Status]]="Cancelled","Cancelled","Completed")</f>
        <v>Completed</v>
      </c>
      <c r="E141" t="s">
        <v>19</v>
      </c>
      <c r="F141" t="s">
        <v>20</v>
      </c>
      <c r="G141" t="s">
        <v>21</v>
      </c>
      <c r="H141" t="s">
        <v>403</v>
      </c>
      <c r="I141" t="s">
        <v>23</v>
      </c>
      <c r="J141" t="s">
        <v>24</v>
      </c>
      <c r="K141" t="s">
        <v>34</v>
      </c>
      <c r="L141">
        <v>1</v>
      </c>
      <c r="M141">
        <v>999</v>
      </c>
      <c r="N141" t="s">
        <v>404</v>
      </c>
      <c r="O141" t="s">
        <v>56</v>
      </c>
      <c r="P141" t="s">
        <v>27</v>
      </c>
      <c r="Q141" t="b">
        <v>0</v>
      </c>
      <c r="R141" t="s">
        <v>28</v>
      </c>
    </row>
    <row r="142" spans="1:18" x14ac:dyDescent="0.3">
      <c r="A142" t="s">
        <v>405</v>
      </c>
      <c r="B142" s="1">
        <v>44681</v>
      </c>
      <c r="C142" t="s">
        <v>34</v>
      </c>
      <c r="D142" t="str">
        <f>IF(Table1[[#This Row],[Status]]="Cancelled","Cancelled","Completed")</f>
        <v>Completed</v>
      </c>
      <c r="E142" t="s">
        <v>38</v>
      </c>
      <c r="F142" t="s">
        <v>20</v>
      </c>
      <c r="G142" t="s">
        <v>39</v>
      </c>
      <c r="H142" t="s">
        <v>406</v>
      </c>
      <c r="I142" t="s">
        <v>23</v>
      </c>
      <c r="J142" t="s">
        <v>41</v>
      </c>
      <c r="K142" t="s">
        <v>34</v>
      </c>
      <c r="L142">
        <v>1</v>
      </c>
      <c r="M142">
        <v>999</v>
      </c>
      <c r="N142" t="s">
        <v>407</v>
      </c>
      <c r="O142" t="s">
        <v>85</v>
      </c>
      <c r="P142" t="s">
        <v>27</v>
      </c>
      <c r="Q142" t="b">
        <v>0</v>
      </c>
    </row>
    <row r="143" spans="1:18" x14ac:dyDescent="0.3">
      <c r="A143" t="s">
        <v>408</v>
      </c>
      <c r="B143" s="1">
        <v>44681</v>
      </c>
      <c r="C143" t="s">
        <v>34</v>
      </c>
      <c r="D143" t="str">
        <f>IF(Table1[[#This Row],[Status]]="Cancelled","Cancelled","Completed")</f>
        <v>Completed</v>
      </c>
      <c r="E143" t="s">
        <v>38</v>
      </c>
      <c r="F143" t="s">
        <v>20</v>
      </c>
      <c r="G143" t="s">
        <v>39</v>
      </c>
      <c r="H143" t="s">
        <v>409</v>
      </c>
      <c r="I143" t="s">
        <v>32</v>
      </c>
      <c r="J143" t="s">
        <v>41</v>
      </c>
      <c r="K143" t="s">
        <v>34</v>
      </c>
      <c r="L143">
        <v>1</v>
      </c>
      <c r="M143">
        <v>487</v>
      </c>
      <c r="N143" t="s">
        <v>410</v>
      </c>
      <c r="O143" t="s">
        <v>122</v>
      </c>
      <c r="P143" t="s">
        <v>27</v>
      </c>
      <c r="Q143" t="b">
        <v>0</v>
      </c>
    </row>
    <row r="144" spans="1:18" x14ac:dyDescent="0.3">
      <c r="A144" t="s">
        <v>411</v>
      </c>
      <c r="B144" s="1">
        <v>44681</v>
      </c>
      <c r="C144" t="s">
        <v>30</v>
      </c>
      <c r="D144" t="str">
        <f>IF(Table1[[#This Row],[Status]]="Cancelled","Cancelled","Completed")</f>
        <v>Completed</v>
      </c>
      <c r="E144" t="s">
        <v>19</v>
      </c>
      <c r="F144" t="s">
        <v>20</v>
      </c>
      <c r="G144" t="s">
        <v>21</v>
      </c>
      <c r="H144" t="s">
        <v>412</v>
      </c>
      <c r="I144" t="s">
        <v>32</v>
      </c>
      <c r="J144" t="s">
        <v>33</v>
      </c>
      <c r="K144" t="s">
        <v>34</v>
      </c>
      <c r="L144">
        <v>1</v>
      </c>
      <c r="M144">
        <v>376</v>
      </c>
      <c r="N144" t="s">
        <v>102</v>
      </c>
      <c r="O144" t="s">
        <v>52</v>
      </c>
      <c r="P144" t="s">
        <v>27</v>
      </c>
      <c r="Q144" t="b">
        <v>0</v>
      </c>
      <c r="R144" t="s">
        <v>28</v>
      </c>
    </row>
    <row r="145" spans="1:18" x14ac:dyDescent="0.3">
      <c r="A145" t="s">
        <v>413</v>
      </c>
      <c r="B145" s="1">
        <v>44681</v>
      </c>
      <c r="C145" t="s">
        <v>34</v>
      </c>
      <c r="D145" t="str">
        <f>IF(Table1[[#This Row],[Status]]="Cancelled","Cancelled","Completed")</f>
        <v>Completed</v>
      </c>
      <c r="E145" t="s">
        <v>38</v>
      </c>
      <c r="F145" t="s">
        <v>20</v>
      </c>
      <c r="G145" t="s">
        <v>39</v>
      </c>
      <c r="H145" t="s">
        <v>414</v>
      </c>
      <c r="I145" t="s">
        <v>23</v>
      </c>
      <c r="J145" t="s">
        <v>46</v>
      </c>
      <c r="K145" t="s">
        <v>34</v>
      </c>
      <c r="L145">
        <v>1</v>
      </c>
      <c r="M145">
        <v>1115</v>
      </c>
      <c r="N145" t="s">
        <v>415</v>
      </c>
      <c r="O145" t="s">
        <v>263</v>
      </c>
      <c r="P145" t="s">
        <v>27</v>
      </c>
      <c r="Q145" t="b">
        <v>0</v>
      </c>
    </row>
    <row r="146" spans="1:18" x14ac:dyDescent="0.3">
      <c r="A146" t="s">
        <v>416</v>
      </c>
      <c r="B146" s="1">
        <v>44681</v>
      </c>
      <c r="C146" t="s">
        <v>34</v>
      </c>
      <c r="D146" t="str">
        <f>IF(Table1[[#This Row],[Status]]="Cancelled","Cancelled","Completed")</f>
        <v>Completed</v>
      </c>
      <c r="E146" t="s">
        <v>38</v>
      </c>
      <c r="F146" t="s">
        <v>20</v>
      </c>
      <c r="G146" t="s">
        <v>39</v>
      </c>
      <c r="H146" t="s">
        <v>417</v>
      </c>
      <c r="I146" t="s">
        <v>23</v>
      </c>
      <c r="J146" t="s">
        <v>66</v>
      </c>
      <c r="K146" t="s">
        <v>34</v>
      </c>
      <c r="L146">
        <v>1</v>
      </c>
      <c r="M146">
        <v>517</v>
      </c>
      <c r="N146" t="s">
        <v>35</v>
      </c>
      <c r="O146" t="s">
        <v>36</v>
      </c>
      <c r="P146" t="s">
        <v>27</v>
      </c>
      <c r="Q146" t="b">
        <v>0</v>
      </c>
    </row>
    <row r="147" spans="1:18" x14ac:dyDescent="0.3">
      <c r="A147" t="s">
        <v>418</v>
      </c>
      <c r="B147" s="1">
        <v>44681</v>
      </c>
      <c r="C147" t="s">
        <v>34</v>
      </c>
      <c r="D147" t="str">
        <f>IF(Table1[[#This Row],[Status]]="Cancelled","Cancelled","Completed")</f>
        <v>Completed</v>
      </c>
      <c r="E147" t="s">
        <v>38</v>
      </c>
      <c r="F147" t="s">
        <v>20</v>
      </c>
      <c r="G147" t="s">
        <v>39</v>
      </c>
      <c r="H147" t="s">
        <v>419</v>
      </c>
      <c r="I147" t="s">
        <v>23</v>
      </c>
      <c r="J147" t="s">
        <v>24</v>
      </c>
      <c r="K147" t="s">
        <v>34</v>
      </c>
      <c r="L147">
        <v>1</v>
      </c>
      <c r="M147">
        <v>1126</v>
      </c>
      <c r="N147" t="s">
        <v>238</v>
      </c>
      <c r="O147" t="s">
        <v>36</v>
      </c>
      <c r="P147" t="s">
        <v>27</v>
      </c>
      <c r="Q147" t="b">
        <v>0</v>
      </c>
    </row>
    <row r="148" spans="1:18" x14ac:dyDescent="0.3">
      <c r="A148" t="s">
        <v>420</v>
      </c>
      <c r="B148" s="1">
        <v>44681</v>
      </c>
      <c r="C148" t="s">
        <v>34</v>
      </c>
      <c r="D148" t="str">
        <f>IF(Table1[[#This Row],[Status]]="Cancelled","Cancelled","Completed")</f>
        <v>Completed</v>
      </c>
      <c r="E148" t="s">
        <v>38</v>
      </c>
      <c r="F148" t="s">
        <v>20</v>
      </c>
      <c r="G148" t="s">
        <v>39</v>
      </c>
      <c r="H148" t="s">
        <v>421</v>
      </c>
      <c r="I148" t="s">
        <v>45</v>
      </c>
      <c r="J148" t="s">
        <v>46</v>
      </c>
      <c r="K148" t="s">
        <v>34</v>
      </c>
      <c r="L148">
        <v>1</v>
      </c>
      <c r="M148">
        <v>725</v>
      </c>
      <c r="N148" t="s">
        <v>422</v>
      </c>
      <c r="O148" t="s">
        <v>155</v>
      </c>
      <c r="P148" t="s">
        <v>27</v>
      </c>
      <c r="Q148" t="b">
        <v>0</v>
      </c>
    </row>
    <row r="149" spans="1:18" x14ac:dyDescent="0.3">
      <c r="A149" t="s">
        <v>423</v>
      </c>
      <c r="B149" s="1">
        <v>44681</v>
      </c>
      <c r="C149" t="s">
        <v>34</v>
      </c>
      <c r="D149" t="str">
        <f>IF(Table1[[#This Row],[Status]]="Cancelled","Cancelled","Completed")</f>
        <v>Completed</v>
      </c>
      <c r="E149" t="s">
        <v>38</v>
      </c>
      <c r="F149" t="s">
        <v>20</v>
      </c>
      <c r="G149" t="s">
        <v>39</v>
      </c>
      <c r="H149" t="s">
        <v>424</v>
      </c>
      <c r="I149" t="s">
        <v>45</v>
      </c>
      <c r="J149" t="s">
        <v>66</v>
      </c>
      <c r="K149" t="s">
        <v>34</v>
      </c>
      <c r="L149">
        <v>1</v>
      </c>
      <c r="M149">
        <v>721</v>
      </c>
      <c r="N149" t="s">
        <v>425</v>
      </c>
      <c r="O149" t="s">
        <v>142</v>
      </c>
      <c r="P149" t="s">
        <v>27</v>
      </c>
      <c r="Q149" t="b">
        <v>0</v>
      </c>
    </row>
    <row r="150" spans="1:18" x14ac:dyDescent="0.3">
      <c r="A150" t="s">
        <v>426</v>
      </c>
      <c r="B150" s="1">
        <v>44681</v>
      </c>
      <c r="C150" t="s">
        <v>34</v>
      </c>
      <c r="D150" t="str">
        <f>IF(Table1[[#This Row],[Status]]="Cancelled","Cancelled","Completed")</f>
        <v>Completed</v>
      </c>
      <c r="E150" t="s">
        <v>38</v>
      </c>
      <c r="F150" t="s">
        <v>20</v>
      </c>
      <c r="G150" t="s">
        <v>39</v>
      </c>
      <c r="H150" t="s">
        <v>427</v>
      </c>
      <c r="I150" t="s">
        <v>23</v>
      </c>
      <c r="J150" t="s">
        <v>72</v>
      </c>
      <c r="K150" t="s">
        <v>34</v>
      </c>
      <c r="L150">
        <v>1</v>
      </c>
      <c r="M150">
        <v>666</v>
      </c>
      <c r="N150" t="s">
        <v>428</v>
      </c>
      <c r="O150" t="s">
        <v>283</v>
      </c>
      <c r="P150" t="s">
        <v>27</v>
      </c>
      <c r="Q150" t="b">
        <v>0</v>
      </c>
    </row>
    <row r="151" spans="1:18" x14ac:dyDescent="0.3">
      <c r="A151" t="s">
        <v>429</v>
      </c>
      <c r="B151" s="1">
        <v>44681</v>
      </c>
      <c r="C151" t="s">
        <v>34</v>
      </c>
      <c r="D151" t="str">
        <f>IF(Table1[[#This Row],[Status]]="Cancelled","Cancelled","Completed")</f>
        <v>Completed</v>
      </c>
      <c r="E151" t="s">
        <v>38</v>
      </c>
      <c r="F151" t="s">
        <v>20</v>
      </c>
      <c r="G151" t="s">
        <v>39</v>
      </c>
      <c r="H151" t="s">
        <v>430</v>
      </c>
      <c r="I151" t="s">
        <v>23</v>
      </c>
      <c r="J151" t="s">
        <v>46</v>
      </c>
      <c r="K151" t="s">
        <v>34</v>
      </c>
      <c r="L151">
        <v>1</v>
      </c>
      <c r="M151">
        <v>496</v>
      </c>
      <c r="N151" t="s">
        <v>62</v>
      </c>
      <c r="O151" t="s">
        <v>63</v>
      </c>
      <c r="P151" t="s">
        <v>27</v>
      </c>
      <c r="Q151" t="b">
        <v>0</v>
      </c>
    </row>
    <row r="152" spans="1:18" x14ac:dyDescent="0.3">
      <c r="A152" t="s">
        <v>431</v>
      </c>
      <c r="B152" s="1">
        <v>44681</v>
      </c>
      <c r="C152" t="s">
        <v>30</v>
      </c>
      <c r="D152" t="str">
        <f>IF(Table1[[#This Row],[Status]]="Cancelled","Cancelled","Completed")</f>
        <v>Completed</v>
      </c>
      <c r="E152" t="s">
        <v>19</v>
      </c>
      <c r="F152" t="s">
        <v>20</v>
      </c>
      <c r="G152" t="s">
        <v>21</v>
      </c>
      <c r="H152" t="s">
        <v>432</v>
      </c>
      <c r="I152" t="s">
        <v>32</v>
      </c>
      <c r="J152" t="s">
        <v>41</v>
      </c>
      <c r="K152" t="s">
        <v>34</v>
      </c>
      <c r="L152">
        <v>1</v>
      </c>
      <c r="M152">
        <v>353</v>
      </c>
      <c r="N152" t="s">
        <v>433</v>
      </c>
      <c r="O152" t="s">
        <v>155</v>
      </c>
      <c r="P152" t="s">
        <v>27</v>
      </c>
      <c r="Q152" t="b">
        <v>0</v>
      </c>
      <c r="R152" t="s">
        <v>28</v>
      </c>
    </row>
    <row r="153" spans="1:18" x14ac:dyDescent="0.3">
      <c r="A153" t="s">
        <v>434</v>
      </c>
      <c r="B153" s="1">
        <v>44681</v>
      </c>
      <c r="C153" t="s">
        <v>30</v>
      </c>
      <c r="D153" t="str">
        <f>IF(Table1[[#This Row],[Status]]="Cancelled","Cancelled","Completed")</f>
        <v>Completed</v>
      </c>
      <c r="E153" t="s">
        <v>19</v>
      </c>
      <c r="F153" t="s">
        <v>20</v>
      </c>
      <c r="G153" t="s">
        <v>21</v>
      </c>
      <c r="H153" t="s">
        <v>435</v>
      </c>
      <c r="I153" t="s">
        <v>32</v>
      </c>
      <c r="J153" t="s">
        <v>24</v>
      </c>
      <c r="K153" t="s">
        <v>34</v>
      </c>
      <c r="L153">
        <v>1</v>
      </c>
      <c r="M153">
        <v>399</v>
      </c>
      <c r="N153" t="s">
        <v>436</v>
      </c>
      <c r="O153" t="s">
        <v>56</v>
      </c>
      <c r="P153" t="s">
        <v>27</v>
      </c>
      <c r="Q153" t="b">
        <v>0</v>
      </c>
      <c r="R153" t="s">
        <v>28</v>
      </c>
    </row>
    <row r="154" spans="1:18" x14ac:dyDescent="0.3">
      <c r="A154" t="s">
        <v>437</v>
      </c>
      <c r="B154" s="1">
        <v>44681</v>
      </c>
      <c r="C154" t="s">
        <v>34</v>
      </c>
      <c r="D154" t="str">
        <f>IF(Table1[[#This Row],[Status]]="Cancelled","Cancelled","Completed")</f>
        <v>Completed</v>
      </c>
      <c r="E154" t="s">
        <v>38</v>
      </c>
      <c r="F154" t="s">
        <v>20</v>
      </c>
      <c r="G154" t="s">
        <v>39</v>
      </c>
      <c r="H154" t="s">
        <v>438</v>
      </c>
      <c r="I154" t="s">
        <v>32</v>
      </c>
      <c r="J154" t="s">
        <v>83</v>
      </c>
      <c r="K154" t="s">
        <v>34</v>
      </c>
      <c r="L154">
        <v>1</v>
      </c>
      <c r="M154">
        <v>458</v>
      </c>
      <c r="N154" t="s">
        <v>439</v>
      </c>
      <c r="O154" t="s">
        <v>52</v>
      </c>
      <c r="P154" t="s">
        <v>27</v>
      </c>
      <c r="Q154" t="b">
        <v>0</v>
      </c>
    </row>
    <row r="155" spans="1:18" x14ac:dyDescent="0.3">
      <c r="A155" t="s">
        <v>440</v>
      </c>
      <c r="B155" s="1">
        <v>44681</v>
      </c>
      <c r="C155" t="s">
        <v>34</v>
      </c>
      <c r="D155" t="str">
        <f>IF(Table1[[#This Row],[Status]]="Cancelled","Cancelled","Completed")</f>
        <v>Completed</v>
      </c>
      <c r="E155" t="s">
        <v>38</v>
      </c>
      <c r="F155" t="s">
        <v>20</v>
      </c>
      <c r="G155" t="s">
        <v>39</v>
      </c>
      <c r="H155" t="s">
        <v>441</v>
      </c>
      <c r="I155" t="s">
        <v>23</v>
      </c>
      <c r="J155" t="s">
        <v>33</v>
      </c>
      <c r="K155" t="s">
        <v>34</v>
      </c>
      <c r="L155">
        <v>1</v>
      </c>
      <c r="M155">
        <v>1115</v>
      </c>
      <c r="N155" t="s">
        <v>442</v>
      </c>
      <c r="O155" t="s">
        <v>194</v>
      </c>
      <c r="P155" t="s">
        <v>27</v>
      </c>
      <c r="Q155" t="b">
        <v>0</v>
      </c>
    </row>
    <row r="156" spans="1:18" x14ac:dyDescent="0.3">
      <c r="A156" t="s">
        <v>443</v>
      </c>
      <c r="B156" s="1">
        <v>44681</v>
      </c>
      <c r="C156" t="s">
        <v>34</v>
      </c>
      <c r="D156" t="str">
        <f>IF(Table1[[#This Row],[Status]]="Cancelled","Cancelled","Completed")</f>
        <v>Completed</v>
      </c>
      <c r="E156" t="s">
        <v>38</v>
      </c>
      <c r="F156" t="s">
        <v>20</v>
      </c>
      <c r="G156" t="s">
        <v>39</v>
      </c>
      <c r="H156" t="s">
        <v>444</v>
      </c>
      <c r="I156" t="s">
        <v>158</v>
      </c>
      <c r="J156" t="s">
        <v>105</v>
      </c>
      <c r="K156" t="s">
        <v>34</v>
      </c>
      <c r="L156">
        <v>1</v>
      </c>
      <c r="M156">
        <v>845</v>
      </c>
      <c r="N156" t="s">
        <v>208</v>
      </c>
      <c r="O156" t="s">
        <v>36</v>
      </c>
      <c r="P156" t="s">
        <v>27</v>
      </c>
      <c r="Q156" t="b">
        <v>0</v>
      </c>
    </row>
    <row r="157" spans="1:18" x14ac:dyDescent="0.3">
      <c r="A157" t="s">
        <v>445</v>
      </c>
      <c r="B157" s="1">
        <v>44681</v>
      </c>
      <c r="C157" t="s">
        <v>30</v>
      </c>
      <c r="D157" t="str">
        <f>IF(Table1[[#This Row],[Status]]="Cancelled","Cancelled","Completed")</f>
        <v>Completed</v>
      </c>
      <c r="E157" t="s">
        <v>19</v>
      </c>
      <c r="F157" t="s">
        <v>20</v>
      </c>
      <c r="G157" t="s">
        <v>21</v>
      </c>
      <c r="H157" t="s">
        <v>61</v>
      </c>
      <c r="I157" t="s">
        <v>32</v>
      </c>
      <c r="J157" t="s">
        <v>24</v>
      </c>
      <c r="K157" t="s">
        <v>34</v>
      </c>
      <c r="L157">
        <v>1</v>
      </c>
      <c r="M157">
        <v>399</v>
      </c>
      <c r="N157" t="s">
        <v>446</v>
      </c>
      <c r="O157" t="s">
        <v>97</v>
      </c>
      <c r="P157" t="s">
        <v>27</v>
      </c>
      <c r="Q157" t="b">
        <v>0</v>
      </c>
      <c r="R157" t="s">
        <v>28</v>
      </c>
    </row>
    <row r="158" spans="1:18" x14ac:dyDescent="0.3">
      <c r="A158" t="s">
        <v>447</v>
      </c>
      <c r="B158" s="1">
        <v>44681</v>
      </c>
      <c r="C158" t="s">
        <v>34</v>
      </c>
      <c r="D158" t="str">
        <f>IF(Table1[[#This Row],[Status]]="Cancelled","Cancelled","Completed")</f>
        <v>Completed</v>
      </c>
      <c r="E158" t="s">
        <v>38</v>
      </c>
      <c r="F158" t="s">
        <v>20</v>
      </c>
      <c r="G158" t="s">
        <v>39</v>
      </c>
      <c r="H158" t="s">
        <v>448</v>
      </c>
      <c r="I158" t="s">
        <v>32</v>
      </c>
      <c r="J158" t="s">
        <v>24</v>
      </c>
      <c r="K158" t="s">
        <v>34</v>
      </c>
      <c r="L158">
        <v>1</v>
      </c>
      <c r="M158">
        <v>517</v>
      </c>
      <c r="N158" t="s">
        <v>62</v>
      </c>
      <c r="O158" t="s">
        <v>63</v>
      </c>
      <c r="P158" t="s">
        <v>27</v>
      </c>
      <c r="Q158" t="b">
        <v>0</v>
      </c>
    </row>
    <row r="159" spans="1:18" x14ac:dyDescent="0.3">
      <c r="A159" t="s">
        <v>447</v>
      </c>
      <c r="B159" s="1">
        <v>44681</v>
      </c>
      <c r="C159" t="s">
        <v>34</v>
      </c>
      <c r="D159" t="str">
        <f>IF(Table1[[#This Row],[Status]]="Cancelled","Cancelled","Completed")</f>
        <v>Completed</v>
      </c>
      <c r="E159" t="s">
        <v>38</v>
      </c>
      <c r="F159" t="s">
        <v>20</v>
      </c>
      <c r="G159" t="s">
        <v>39</v>
      </c>
      <c r="H159" t="s">
        <v>449</v>
      </c>
      <c r="I159" t="s">
        <v>32</v>
      </c>
      <c r="J159" t="s">
        <v>24</v>
      </c>
      <c r="K159" t="s">
        <v>34</v>
      </c>
      <c r="L159">
        <v>1</v>
      </c>
      <c r="M159">
        <v>517</v>
      </c>
      <c r="N159" t="s">
        <v>62</v>
      </c>
      <c r="O159" t="s">
        <v>63</v>
      </c>
      <c r="P159" t="s">
        <v>27</v>
      </c>
      <c r="Q159" t="b">
        <v>0</v>
      </c>
    </row>
    <row r="160" spans="1:18" x14ac:dyDescent="0.3">
      <c r="A160" t="s">
        <v>450</v>
      </c>
      <c r="B160" s="1">
        <v>44681</v>
      </c>
      <c r="C160" t="s">
        <v>34</v>
      </c>
      <c r="D160" t="str">
        <f>IF(Table1[[#This Row],[Status]]="Cancelled","Cancelled","Completed")</f>
        <v>Completed</v>
      </c>
      <c r="E160" t="s">
        <v>38</v>
      </c>
      <c r="F160" t="s">
        <v>20</v>
      </c>
      <c r="G160" t="s">
        <v>39</v>
      </c>
      <c r="H160" t="s">
        <v>451</v>
      </c>
      <c r="I160" t="s">
        <v>32</v>
      </c>
      <c r="J160" t="s">
        <v>33</v>
      </c>
      <c r="K160" t="s">
        <v>34</v>
      </c>
      <c r="L160">
        <v>1</v>
      </c>
      <c r="M160">
        <v>599</v>
      </c>
      <c r="N160" t="s">
        <v>159</v>
      </c>
      <c r="O160" t="s">
        <v>56</v>
      </c>
      <c r="P160" t="s">
        <v>27</v>
      </c>
      <c r="Q160" t="b">
        <v>0</v>
      </c>
    </row>
    <row r="161" spans="1:18" x14ac:dyDescent="0.3">
      <c r="A161" t="s">
        <v>452</v>
      </c>
      <c r="B161" s="1">
        <v>44681</v>
      </c>
      <c r="C161" t="s">
        <v>34</v>
      </c>
      <c r="D161" t="str">
        <f>IF(Table1[[#This Row],[Status]]="Cancelled","Cancelled","Completed")</f>
        <v>Completed</v>
      </c>
      <c r="E161" t="s">
        <v>38</v>
      </c>
      <c r="F161" t="s">
        <v>20</v>
      </c>
      <c r="G161" t="s">
        <v>39</v>
      </c>
      <c r="H161" t="s">
        <v>453</v>
      </c>
      <c r="I161" t="s">
        <v>50</v>
      </c>
      <c r="J161" t="s">
        <v>33</v>
      </c>
      <c r="K161" t="s">
        <v>34</v>
      </c>
      <c r="L161">
        <v>1</v>
      </c>
      <c r="M161">
        <v>487</v>
      </c>
      <c r="N161" t="s">
        <v>454</v>
      </c>
      <c r="O161" t="s">
        <v>93</v>
      </c>
      <c r="P161" t="s">
        <v>27</v>
      </c>
      <c r="Q161" t="b">
        <v>0</v>
      </c>
    </row>
    <row r="162" spans="1:18" x14ac:dyDescent="0.3">
      <c r="A162" t="s">
        <v>455</v>
      </c>
      <c r="B162" s="1">
        <v>44681</v>
      </c>
      <c r="C162" t="s">
        <v>34</v>
      </c>
      <c r="D162" t="str">
        <f>IF(Table1[[#This Row],[Status]]="Cancelled","Cancelled","Completed")</f>
        <v>Completed</v>
      </c>
      <c r="E162" t="s">
        <v>38</v>
      </c>
      <c r="F162" t="s">
        <v>20</v>
      </c>
      <c r="G162" t="s">
        <v>39</v>
      </c>
      <c r="H162" t="s">
        <v>456</v>
      </c>
      <c r="I162" t="s">
        <v>50</v>
      </c>
      <c r="J162" t="s">
        <v>66</v>
      </c>
      <c r="K162" t="s">
        <v>34</v>
      </c>
      <c r="L162">
        <v>1</v>
      </c>
      <c r="M162">
        <v>487</v>
      </c>
      <c r="N162" t="s">
        <v>457</v>
      </c>
      <c r="O162" t="s">
        <v>97</v>
      </c>
      <c r="P162" t="s">
        <v>27</v>
      </c>
      <c r="Q162" t="b">
        <v>0</v>
      </c>
    </row>
    <row r="163" spans="1:18" x14ac:dyDescent="0.3">
      <c r="A163" t="s">
        <v>458</v>
      </c>
      <c r="B163" s="1">
        <v>44681</v>
      </c>
      <c r="C163" t="s">
        <v>34</v>
      </c>
      <c r="D163" t="str">
        <f>IF(Table1[[#This Row],[Status]]="Cancelled","Cancelled","Completed")</f>
        <v>Completed</v>
      </c>
      <c r="E163" t="s">
        <v>38</v>
      </c>
      <c r="F163" t="s">
        <v>20</v>
      </c>
      <c r="G163" t="s">
        <v>39</v>
      </c>
      <c r="H163" t="s">
        <v>459</v>
      </c>
      <c r="I163" t="s">
        <v>23</v>
      </c>
      <c r="J163" t="s">
        <v>72</v>
      </c>
      <c r="K163" t="s">
        <v>34</v>
      </c>
      <c r="L163">
        <v>1</v>
      </c>
      <c r="M163">
        <v>568</v>
      </c>
      <c r="N163" t="s">
        <v>35</v>
      </c>
      <c r="O163" t="s">
        <v>36</v>
      </c>
      <c r="P163" t="s">
        <v>27</v>
      </c>
      <c r="Q163" t="b">
        <v>0</v>
      </c>
    </row>
    <row r="164" spans="1:18" x14ac:dyDescent="0.3">
      <c r="A164" t="s">
        <v>460</v>
      </c>
      <c r="B164" s="1">
        <v>44681</v>
      </c>
      <c r="C164" t="s">
        <v>30</v>
      </c>
      <c r="D164" t="str">
        <f>IF(Table1[[#This Row],[Status]]="Cancelled","Cancelled","Completed")</f>
        <v>Completed</v>
      </c>
      <c r="E164" t="s">
        <v>19</v>
      </c>
      <c r="F164" t="s">
        <v>20</v>
      </c>
      <c r="G164" t="s">
        <v>21</v>
      </c>
      <c r="H164" t="s">
        <v>183</v>
      </c>
      <c r="I164" t="s">
        <v>32</v>
      </c>
      <c r="J164" t="s">
        <v>105</v>
      </c>
      <c r="K164" t="s">
        <v>34</v>
      </c>
      <c r="L164">
        <v>1</v>
      </c>
      <c r="M164">
        <v>399</v>
      </c>
      <c r="N164" t="s">
        <v>35</v>
      </c>
      <c r="O164" t="s">
        <v>36</v>
      </c>
      <c r="P164" t="s">
        <v>27</v>
      </c>
      <c r="Q164" t="b">
        <v>0</v>
      </c>
      <c r="R164" t="s">
        <v>28</v>
      </c>
    </row>
    <row r="165" spans="1:18" x14ac:dyDescent="0.3">
      <c r="A165" t="s">
        <v>461</v>
      </c>
      <c r="B165" s="1">
        <v>44681</v>
      </c>
      <c r="C165" t="s">
        <v>34</v>
      </c>
      <c r="D165" t="str">
        <f>IF(Table1[[#This Row],[Status]]="Cancelled","Cancelled","Completed")</f>
        <v>Completed</v>
      </c>
      <c r="E165" t="s">
        <v>38</v>
      </c>
      <c r="F165" t="s">
        <v>20</v>
      </c>
      <c r="G165" t="s">
        <v>39</v>
      </c>
      <c r="H165" t="s">
        <v>462</v>
      </c>
      <c r="I165" t="s">
        <v>32</v>
      </c>
      <c r="J165" t="s">
        <v>66</v>
      </c>
      <c r="K165" t="s">
        <v>34</v>
      </c>
      <c r="L165">
        <v>1</v>
      </c>
      <c r="M165">
        <v>295</v>
      </c>
      <c r="N165" t="s">
        <v>25</v>
      </c>
      <c r="O165" t="s">
        <v>26</v>
      </c>
      <c r="P165" t="s">
        <v>27</v>
      </c>
      <c r="Q165" t="b">
        <v>0</v>
      </c>
    </row>
    <row r="166" spans="1:18" x14ac:dyDescent="0.3">
      <c r="A166" t="s">
        <v>463</v>
      </c>
      <c r="B166" s="1">
        <v>44681</v>
      </c>
      <c r="C166" t="s">
        <v>34</v>
      </c>
      <c r="D166" t="str">
        <f>IF(Table1[[#This Row],[Status]]="Cancelled","Cancelled","Completed")</f>
        <v>Completed</v>
      </c>
      <c r="E166" t="s">
        <v>38</v>
      </c>
      <c r="F166" t="s">
        <v>20</v>
      </c>
      <c r="G166" t="s">
        <v>39</v>
      </c>
      <c r="H166" t="s">
        <v>464</v>
      </c>
      <c r="I166" t="s">
        <v>32</v>
      </c>
      <c r="J166" t="s">
        <v>33</v>
      </c>
      <c r="K166" t="s">
        <v>34</v>
      </c>
      <c r="L166">
        <v>1</v>
      </c>
      <c r="M166">
        <v>484</v>
      </c>
      <c r="N166" t="s">
        <v>465</v>
      </c>
      <c r="O166" t="s">
        <v>56</v>
      </c>
      <c r="P166" t="s">
        <v>27</v>
      </c>
      <c r="Q166" t="b">
        <v>0</v>
      </c>
    </row>
    <row r="167" spans="1:18" x14ac:dyDescent="0.3">
      <c r="A167" t="s">
        <v>466</v>
      </c>
      <c r="B167" s="1">
        <v>44681</v>
      </c>
      <c r="C167" t="s">
        <v>34</v>
      </c>
      <c r="D167" t="str">
        <f>IF(Table1[[#This Row],[Status]]="Cancelled","Cancelled","Completed")</f>
        <v>Completed</v>
      </c>
      <c r="E167" t="s">
        <v>38</v>
      </c>
      <c r="F167" t="s">
        <v>20</v>
      </c>
      <c r="G167" t="s">
        <v>39</v>
      </c>
      <c r="H167" t="s">
        <v>467</v>
      </c>
      <c r="I167" t="s">
        <v>23</v>
      </c>
      <c r="J167" t="s">
        <v>66</v>
      </c>
      <c r="K167" t="s">
        <v>34</v>
      </c>
      <c r="L167">
        <v>1</v>
      </c>
      <c r="M167">
        <v>626</v>
      </c>
      <c r="N167" t="s">
        <v>25</v>
      </c>
      <c r="O167" t="s">
        <v>26</v>
      </c>
      <c r="P167" t="s">
        <v>27</v>
      </c>
      <c r="Q167" t="b">
        <v>0</v>
      </c>
    </row>
    <row r="168" spans="1:18" x14ac:dyDescent="0.3">
      <c r="A168" t="s">
        <v>468</v>
      </c>
      <c r="B168" s="1">
        <v>44681</v>
      </c>
      <c r="C168" t="s">
        <v>34</v>
      </c>
      <c r="D168" t="str">
        <f>IF(Table1[[#This Row],[Status]]="Cancelled","Cancelled","Completed")</f>
        <v>Completed</v>
      </c>
      <c r="E168" t="s">
        <v>38</v>
      </c>
      <c r="F168" t="s">
        <v>20</v>
      </c>
      <c r="G168" t="s">
        <v>39</v>
      </c>
      <c r="H168" t="s">
        <v>109</v>
      </c>
      <c r="I168" t="s">
        <v>23</v>
      </c>
      <c r="J168" t="s">
        <v>105</v>
      </c>
      <c r="K168" t="s">
        <v>34</v>
      </c>
      <c r="L168">
        <v>1</v>
      </c>
      <c r="M168">
        <v>563</v>
      </c>
      <c r="N168" t="s">
        <v>469</v>
      </c>
      <c r="O168" t="s">
        <v>56</v>
      </c>
      <c r="P168" t="s">
        <v>27</v>
      </c>
      <c r="Q168" t="b">
        <v>0</v>
      </c>
    </row>
    <row r="169" spans="1:18" x14ac:dyDescent="0.3">
      <c r="A169" t="s">
        <v>470</v>
      </c>
      <c r="B169" s="1">
        <v>44681</v>
      </c>
      <c r="C169" t="s">
        <v>30</v>
      </c>
      <c r="D169" t="str">
        <f>IF(Table1[[#This Row],[Status]]="Cancelled","Cancelled","Completed")</f>
        <v>Completed</v>
      </c>
      <c r="E169" t="s">
        <v>19</v>
      </c>
      <c r="F169" t="s">
        <v>20</v>
      </c>
      <c r="G169" t="s">
        <v>21</v>
      </c>
      <c r="H169" t="s">
        <v>471</v>
      </c>
      <c r="I169" t="s">
        <v>50</v>
      </c>
      <c r="J169" t="s">
        <v>46</v>
      </c>
      <c r="K169" t="s">
        <v>34</v>
      </c>
      <c r="L169">
        <v>1</v>
      </c>
      <c r="M169">
        <v>387</v>
      </c>
      <c r="N169" t="s">
        <v>472</v>
      </c>
      <c r="O169" t="s">
        <v>26</v>
      </c>
      <c r="P169" t="s">
        <v>27</v>
      </c>
      <c r="Q169" t="b">
        <v>0</v>
      </c>
      <c r="R169" t="s">
        <v>28</v>
      </c>
    </row>
    <row r="170" spans="1:18" x14ac:dyDescent="0.3">
      <c r="A170" t="s">
        <v>473</v>
      </c>
      <c r="B170" s="1">
        <v>44681</v>
      </c>
      <c r="C170" t="s">
        <v>18</v>
      </c>
      <c r="D170" t="str">
        <f>IF(Table1[[#This Row],[Status]]="Cancelled","Cancelled","Completed")</f>
        <v>Cancelled</v>
      </c>
      <c r="E170" t="s">
        <v>19</v>
      </c>
      <c r="F170" t="s">
        <v>20</v>
      </c>
      <c r="G170" t="s">
        <v>21</v>
      </c>
      <c r="H170" t="s">
        <v>474</v>
      </c>
      <c r="I170" t="s">
        <v>50</v>
      </c>
      <c r="J170" t="s">
        <v>46</v>
      </c>
      <c r="L170">
        <v>0</v>
      </c>
      <c r="M170">
        <v>463.81</v>
      </c>
      <c r="N170" t="s">
        <v>35</v>
      </c>
      <c r="O170" t="s">
        <v>36</v>
      </c>
      <c r="P170" t="s">
        <v>27</v>
      </c>
      <c r="Q170" t="b">
        <v>0</v>
      </c>
      <c r="R170" t="s">
        <v>28</v>
      </c>
    </row>
    <row r="171" spans="1:18" x14ac:dyDescent="0.3">
      <c r="A171" t="s">
        <v>475</v>
      </c>
      <c r="B171" s="1">
        <v>44681</v>
      </c>
      <c r="C171" t="s">
        <v>34</v>
      </c>
      <c r="D171" t="str">
        <f>IF(Table1[[#This Row],[Status]]="Cancelled","Cancelled","Completed")</f>
        <v>Completed</v>
      </c>
      <c r="E171" t="s">
        <v>38</v>
      </c>
      <c r="F171" t="s">
        <v>20</v>
      </c>
      <c r="G171" t="s">
        <v>39</v>
      </c>
      <c r="H171" t="s">
        <v>476</v>
      </c>
      <c r="I171" t="s">
        <v>50</v>
      </c>
      <c r="J171" t="s">
        <v>46</v>
      </c>
      <c r="K171" t="s">
        <v>34</v>
      </c>
      <c r="L171">
        <v>1</v>
      </c>
      <c r="M171">
        <v>512</v>
      </c>
      <c r="N171" t="s">
        <v>465</v>
      </c>
      <c r="O171" t="s">
        <v>56</v>
      </c>
      <c r="P171" t="s">
        <v>27</v>
      </c>
      <c r="Q171" t="b">
        <v>0</v>
      </c>
    </row>
    <row r="172" spans="1:18" x14ac:dyDescent="0.3">
      <c r="A172" t="s">
        <v>477</v>
      </c>
      <c r="B172" s="1">
        <v>44681</v>
      </c>
      <c r="C172" t="s">
        <v>34</v>
      </c>
      <c r="D172" t="str">
        <f>IF(Table1[[#This Row],[Status]]="Cancelled","Cancelled","Completed")</f>
        <v>Completed</v>
      </c>
      <c r="E172" t="s">
        <v>38</v>
      </c>
      <c r="F172" t="s">
        <v>20</v>
      </c>
      <c r="G172" t="s">
        <v>39</v>
      </c>
      <c r="H172" t="s">
        <v>478</v>
      </c>
      <c r="I172" t="s">
        <v>23</v>
      </c>
      <c r="J172" t="s">
        <v>24</v>
      </c>
      <c r="K172" t="s">
        <v>34</v>
      </c>
      <c r="L172">
        <v>1</v>
      </c>
      <c r="M172">
        <v>1112</v>
      </c>
      <c r="N172" t="s">
        <v>62</v>
      </c>
      <c r="O172" t="s">
        <v>63</v>
      </c>
      <c r="P172" t="s">
        <v>27</v>
      </c>
      <c r="Q172" t="b">
        <v>0</v>
      </c>
    </row>
    <row r="173" spans="1:18" x14ac:dyDescent="0.3">
      <c r="A173" t="s">
        <v>479</v>
      </c>
      <c r="B173" s="1">
        <v>44681</v>
      </c>
      <c r="C173" t="s">
        <v>18</v>
      </c>
      <c r="D173" t="str">
        <f>IF(Table1[[#This Row],[Status]]="Cancelled","Cancelled","Completed")</f>
        <v>Cancelled</v>
      </c>
      <c r="E173" t="s">
        <v>38</v>
      </c>
      <c r="F173" t="s">
        <v>20</v>
      </c>
      <c r="G173" t="s">
        <v>39</v>
      </c>
      <c r="H173" t="s">
        <v>104</v>
      </c>
      <c r="I173" t="s">
        <v>23</v>
      </c>
      <c r="J173" t="s">
        <v>105</v>
      </c>
      <c r="K173" t="s">
        <v>335</v>
      </c>
      <c r="L173">
        <v>1</v>
      </c>
      <c r="M173">
        <v>626</v>
      </c>
      <c r="N173" t="s">
        <v>35</v>
      </c>
      <c r="O173" t="s">
        <v>36</v>
      </c>
      <c r="P173" t="s">
        <v>27</v>
      </c>
      <c r="Q173" t="b">
        <v>0</v>
      </c>
    </row>
    <row r="174" spans="1:18" x14ac:dyDescent="0.3">
      <c r="A174" t="s">
        <v>480</v>
      </c>
      <c r="B174" s="1">
        <v>44681</v>
      </c>
      <c r="C174" t="s">
        <v>34</v>
      </c>
      <c r="D174" t="str">
        <f>IF(Table1[[#This Row],[Status]]="Cancelled","Cancelled","Completed")</f>
        <v>Completed</v>
      </c>
      <c r="E174" t="s">
        <v>38</v>
      </c>
      <c r="F174" t="s">
        <v>20</v>
      </c>
      <c r="G174" t="s">
        <v>39</v>
      </c>
      <c r="H174" t="s">
        <v>481</v>
      </c>
      <c r="I174" t="s">
        <v>32</v>
      </c>
      <c r="J174" t="s">
        <v>66</v>
      </c>
      <c r="K174" t="s">
        <v>34</v>
      </c>
      <c r="L174">
        <v>1</v>
      </c>
      <c r="M174">
        <v>376</v>
      </c>
      <c r="N174" t="s">
        <v>62</v>
      </c>
      <c r="O174" t="s">
        <v>63</v>
      </c>
      <c r="P174" t="s">
        <v>27</v>
      </c>
      <c r="Q174" t="b">
        <v>0</v>
      </c>
    </row>
    <row r="175" spans="1:18" x14ac:dyDescent="0.3">
      <c r="A175" t="s">
        <v>482</v>
      </c>
      <c r="B175" s="1">
        <v>44681</v>
      </c>
      <c r="C175" t="s">
        <v>34</v>
      </c>
      <c r="D175" t="str">
        <f>IF(Table1[[#This Row],[Status]]="Cancelled","Cancelled","Completed")</f>
        <v>Completed</v>
      </c>
      <c r="E175" t="s">
        <v>38</v>
      </c>
      <c r="F175" t="s">
        <v>20</v>
      </c>
      <c r="G175" t="s">
        <v>39</v>
      </c>
      <c r="H175" t="s">
        <v>483</v>
      </c>
      <c r="I175" t="s">
        <v>45</v>
      </c>
      <c r="J175" t="s">
        <v>105</v>
      </c>
      <c r="K175" t="s">
        <v>34</v>
      </c>
      <c r="L175">
        <v>1</v>
      </c>
      <c r="M175">
        <v>859</v>
      </c>
      <c r="N175" t="s">
        <v>35</v>
      </c>
      <c r="O175" t="s">
        <v>36</v>
      </c>
      <c r="P175" t="s">
        <v>27</v>
      </c>
      <c r="Q175" t="b">
        <v>0</v>
      </c>
    </row>
    <row r="176" spans="1:18" x14ac:dyDescent="0.3">
      <c r="A176" t="s">
        <v>484</v>
      </c>
      <c r="B176" s="1">
        <v>44681</v>
      </c>
      <c r="C176" t="s">
        <v>34</v>
      </c>
      <c r="D176" t="str">
        <f>IF(Table1[[#This Row],[Status]]="Cancelled","Cancelled","Completed")</f>
        <v>Completed</v>
      </c>
      <c r="E176" t="s">
        <v>38</v>
      </c>
      <c r="F176" t="s">
        <v>20</v>
      </c>
      <c r="G176" t="s">
        <v>39</v>
      </c>
      <c r="H176" t="s">
        <v>485</v>
      </c>
      <c r="I176" t="s">
        <v>23</v>
      </c>
      <c r="J176" t="s">
        <v>46</v>
      </c>
      <c r="K176" t="s">
        <v>34</v>
      </c>
      <c r="L176">
        <v>1</v>
      </c>
      <c r="M176">
        <v>597</v>
      </c>
      <c r="N176" t="s">
        <v>486</v>
      </c>
      <c r="O176" t="s">
        <v>36</v>
      </c>
      <c r="P176" t="s">
        <v>27</v>
      </c>
      <c r="Q176" t="b">
        <v>0</v>
      </c>
    </row>
    <row r="177" spans="1:18" x14ac:dyDescent="0.3">
      <c r="A177" t="s">
        <v>487</v>
      </c>
      <c r="B177" s="1">
        <v>44681</v>
      </c>
      <c r="C177" t="s">
        <v>34</v>
      </c>
      <c r="D177" t="str">
        <f>IF(Table1[[#This Row],[Status]]="Cancelled","Cancelled","Completed")</f>
        <v>Completed</v>
      </c>
      <c r="E177" t="s">
        <v>38</v>
      </c>
      <c r="F177" t="s">
        <v>20</v>
      </c>
      <c r="G177" t="s">
        <v>39</v>
      </c>
      <c r="H177" t="s">
        <v>40</v>
      </c>
      <c r="I177" t="s">
        <v>32</v>
      </c>
      <c r="J177" t="s">
        <v>41</v>
      </c>
      <c r="K177" t="s">
        <v>34</v>
      </c>
      <c r="L177">
        <v>1</v>
      </c>
      <c r="M177">
        <v>329</v>
      </c>
      <c r="N177" t="s">
        <v>62</v>
      </c>
      <c r="O177" t="s">
        <v>63</v>
      </c>
      <c r="P177" t="s">
        <v>27</v>
      </c>
      <c r="Q177" t="b">
        <v>0</v>
      </c>
    </row>
    <row r="178" spans="1:18" x14ac:dyDescent="0.3">
      <c r="A178" t="s">
        <v>488</v>
      </c>
      <c r="B178" s="1">
        <v>44681</v>
      </c>
      <c r="C178" t="s">
        <v>30</v>
      </c>
      <c r="D178" t="str">
        <f>IF(Table1[[#This Row],[Status]]="Cancelled","Cancelled","Completed")</f>
        <v>Completed</v>
      </c>
      <c r="E178" t="s">
        <v>19</v>
      </c>
      <c r="F178" t="s">
        <v>20</v>
      </c>
      <c r="G178" t="s">
        <v>21</v>
      </c>
      <c r="H178" t="s">
        <v>489</v>
      </c>
      <c r="I178" t="s">
        <v>23</v>
      </c>
      <c r="J178" t="s">
        <v>41</v>
      </c>
      <c r="K178" t="s">
        <v>34</v>
      </c>
      <c r="L178">
        <v>1</v>
      </c>
      <c r="M178">
        <v>583</v>
      </c>
      <c r="N178" t="s">
        <v>490</v>
      </c>
      <c r="O178" t="s">
        <v>173</v>
      </c>
      <c r="P178" t="s">
        <v>27</v>
      </c>
      <c r="Q178" t="b">
        <v>0</v>
      </c>
      <c r="R178" t="s">
        <v>28</v>
      </c>
    </row>
    <row r="179" spans="1:18" x14ac:dyDescent="0.3">
      <c r="A179" t="s">
        <v>491</v>
      </c>
      <c r="B179" s="1">
        <v>44681</v>
      </c>
      <c r="C179" t="s">
        <v>34</v>
      </c>
      <c r="D179" t="str">
        <f>IF(Table1[[#This Row],[Status]]="Cancelled","Cancelled","Completed")</f>
        <v>Completed</v>
      </c>
      <c r="E179" t="s">
        <v>38</v>
      </c>
      <c r="F179" t="s">
        <v>20</v>
      </c>
      <c r="G179" t="s">
        <v>39</v>
      </c>
      <c r="H179" t="s">
        <v>492</v>
      </c>
      <c r="I179" t="s">
        <v>45</v>
      </c>
      <c r="J179" t="s">
        <v>46</v>
      </c>
      <c r="K179" t="s">
        <v>34</v>
      </c>
      <c r="L179">
        <v>1</v>
      </c>
      <c r="M179">
        <v>665</v>
      </c>
      <c r="N179" t="s">
        <v>25</v>
      </c>
      <c r="O179" t="s">
        <v>26</v>
      </c>
      <c r="P179" t="s">
        <v>27</v>
      </c>
      <c r="Q179" t="b">
        <v>0</v>
      </c>
    </row>
    <row r="180" spans="1:18" x14ac:dyDescent="0.3">
      <c r="A180" t="s">
        <v>493</v>
      </c>
      <c r="B180" s="1">
        <v>44681</v>
      </c>
      <c r="C180" t="s">
        <v>34</v>
      </c>
      <c r="D180" t="str">
        <f>IF(Table1[[#This Row],[Status]]="Cancelled","Cancelled","Completed")</f>
        <v>Completed</v>
      </c>
      <c r="E180" t="s">
        <v>38</v>
      </c>
      <c r="F180" t="s">
        <v>20</v>
      </c>
      <c r="G180" t="s">
        <v>39</v>
      </c>
      <c r="H180" t="s">
        <v>494</v>
      </c>
      <c r="I180" t="s">
        <v>23</v>
      </c>
      <c r="J180" t="s">
        <v>46</v>
      </c>
      <c r="K180" t="s">
        <v>34</v>
      </c>
      <c r="L180">
        <v>1</v>
      </c>
      <c r="M180">
        <v>582</v>
      </c>
      <c r="N180" t="s">
        <v>25</v>
      </c>
      <c r="O180" t="s">
        <v>26</v>
      </c>
      <c r="P180" t="s">
        <v>27</v>
      </c>
      <c r="Q180" t="b">
        <v>0</v>
      </c>
    </row>
    <row r="181" spans="1:18" x14ac:dyDescent="0.3">
      <c r="A181" t="s">
        <v>495</v>
      </c>
      <c r="B181" s="1">
        <v>44681</v>
      </c>
      <c r="C181" t="s">
        <v>34</v>
      </c>
      <c r="D181" t="str">
        <f>IF(Table1[[#This Row],[Status]]="Cancelled","Cancelled","Completed")</f>
        <v>Completed</v>
      </c>
      <c r="E181" t="s">
        <v>38</v>
      </c>
      <c r="F181" t="s">
        <v>20</v>
      </c>
      <c r="G181" t="s">
        <v>39</v>
      </c>
      <c r="H181" t="s">
        <v>496</v>
      </c>
      <c r="I181" t="s">
        <v>23</v>
      </c>
      <c r="J181" t="s">
        <v>41</v>
      </c>
      <c r="K181" t="s">
        <v>34</v>
      </c>
      <c r="L181">
        <v>1</v>
      </c>
      <c r="M181">
        <v>1126</v>
      </c>
      <c r="N181" t="s">
        <v>497</v>
      </c>
      <c r="O181" t="s">
        <v>56</v>
      </c>
      <c r="P181" t="s">
        <v>27</v>
      </c>
      <c r="Q181" t="b">
        <v>0</v>
      </c>
    </row>
    <row r="182" spans="1:18" x14ac:dyDescent="0.3">
      <c r="A182" t="s">
        <v>498</v>
      </c>
      <c r="B182" s="1">
        <v>44681</v>
      </c>
      <c r="C182" t="s">
        <v>34</v>
      </c>
      <c r="D182" t="str">
        <f>IF(Table1[[#This Row],[Status]]="Cancelled","Cancelled","Completed")</f>
        <v>Completed</v>
      </c>
      <c r="E182" t="s">
        <v>38</v>
      </c>
      <c r="F182" t="s">
        <v>20</v>
      </c>
      <c r="G182" t="s">
        <v>39</v>
      </c>
      <c r="H182" t="s">
        <v>499</v>
      </c>
      <c r="I182" t="s">
        <v>32</v>
      </c>
      <c r="J182" t="s">
        <v>83</v>
      </c>
      <c r="K182" t="s">
        <v>34</v>
      </c>
      <c r="L182">
        <v>1</v>
      </c>
      <c r="M182">
        <v>534</v>
      </c>
      <c r="N182" t="s">
        <v>215</v>
      </c>
      <c r="O182" t="s">
        <v>26</v>
      </c>
      <c r="P182" t="s">
        <v>27</v>
      </c>
      <c r="Q182" t="b">
        <v>0</v>
      </c>
    </row>
    <row r="183" spans="1:18" x14ac:dyDescent="0.3">
      <c r="A183" t="s">
        <v>500</v>
      </c>
      <c r="B183" s="1">
        <v>44681</v>
      </c>
      <c r="C183" t="s">
        <v>34</v>
      </c>
      <c r="D183" t="str">
        <f>IF(Table1[[#This Row],[Status]]="Cancelled","Cancelled","Completed")</f>
        <v>Completed</v>
      </c>
      <c r="E183" t="s">
        <v>38</v>
      </c>
      <c r="F183" t="s">
        <v>20</v>
      </c>
      <c r="G183" t="s">
        <v>39</v>
      </c>
      <c r="H183" t="s">
        <v>501</v>
      </c>
      <c r="I183" t="s">
        <v>32</v>
      </c>
      <c r="J183" t="s">
        <v>66</v>
      </c>
      <c r="K183" t="s">
        <v>34</v>
      </c>
      <c r="L183">
        <v>1</v>
      </c>
      <c r="M183">
        <v>319</v>
      </c>
      <c r="N183" t="s">
        <v>502</v>
      </c>
      <c r="O183" t="s">
        <v>52</v>
      </c>
      <c r="P183" t="s">
        <v>27</v>
      </c>
      <c r="Q183" t="b">
        <v>0</v>
      </c>
    </row>
    <row r="184" spans="1:18" x14ac:dyDescent="0.3">
      <c r="A184" t="s">
        <v>503</v>
      </c>
      <c r="B184" s="1">
        <v>44681</v>
      </c>
      <c r="C184" t="s">
        <v>34</v>
      </c>
      <c r="D184" t="str">
        <f>IF(Table1[[#This Row],[Status]]="Cancelled","Cancelled","Completed")</f>
        <v>Completed</v>
      </c>
      <c r="E184" t="s">
        <v>38</v>
      </c>
      <c r="F184" t="s">
        <v>20</v>
      </c>
      <c r="G184" t="s">
        <v>39</v>
      </c>
      <c r="H184" t="s">
        <v>504</v>
      </c>
      <c r="I184" t="s">
        <v>32</v>
      </c>
      <c r="J184" t="s">
        <v>24</v>
      </c>
      <c r="K184" t="s">
        <v>34</v>
      </c>
      <c r="L184">
        <v>1</v>
      </c>
      <c r="M184">
        <v>368</v>
      </c>
      <c r="N184" t="s">
        <v>505</v>
      </c>
      <c r="O184" t="s">
        <v>26</v>
      </c>
      <c r="P184" t="s">
        <v>27</v>
      </c>
      <c r="Q184" t="b">
        <v>0</v>
      </c>
    </row>
    <row r="185" spans="1:18" x14ac:dyDescent="0.3">
      <c r="A185" t="s">
        <v>506</v>
      </c>
      <c r="B185" s="1">
        <v>44681</v>
      </c>
      <c r="C185" t="s">
        <v>18</v>
      </c>
      <c r="D185" t="str">
        <f>IF(Table1[[#This Row],[Status]]="Cancelled","Cancelled","Completed")</f>
        <v>Cancelled</v>
      </c>
      <c r="E185" t="s">
        <v>38</v>
      </c>
      <c r="F185" t="s">
        <v>20</v>
      </c>
      <c r="G185" t="s">
        <v>39</v>
      </c>
      <c r="H185" t="s">
        <v>368</v>
      </c>
      <c r="I185" t="s">
        <v>23</v>
      </c>
      <c r="J185" t="s">
        <v>105</v>
      </c>
      <c r="K185" t="s">
        <v>335</v>
      </c>
      <c r="L185">
        <v>1</v>
      </c>
      <c r="M185">
        <v>597</v>
      </c>
      <c r="N185" t="s">
        <v>387</v>
      </c>
      <c r="O185" t="s">
        <v>26</v>
      </c>
      <c r="P185" t="s">
        <v>27</v>
      </c>
      <c r="Q185" t="b">
        <v>0</v>
      </c>
    </row>
    <row r="186" spans="1:18" x14ac:dyDescent="0.3">
      <c r="A186" t="s">
        <v>507</v>
      </c>
      <c r="B186" s="1">
        <v>44681</v>
      </c>
      <c r="C186" t="s">
        <v>18</v>
      </c>
      <c r="D186" t="str">
        <f>IF(Table1[[#This Row],[Status]]="Cancelled","Cancelled","Completed")</f>
        <v>Cancelled</v>
      </c>
      <c r="E186" t="s">
        <v>38</v>
      </c>
      <c r="F186" t="s">
        <v>20</v>
      </c>
      <c r="G186" t="s">
        <v>39</v>
      </c>
      <c r="H186" t="s">
        <v>508</v>
      </c>
      <c r="I186" t="s">
        <v>23</v>
      </c>
      <c r="J186" t="s">
        <v>66</v>
      </c>
      <c r="K186" t="s">
        <v>335</v>
      </c>
      <c r="L186">
        <v>1</v>
      </c>
      <c r="M186">
        <v>654</v>
      </c>
      <c r="N186" t="s">
        <v>509</v>
      </c>
      <c r="O186" t="s">
        <v>36</v>
      </c>
      <c r="P186" t="s">
        <v>27</v>
      </c>
      <c r="Q186" t="b">
        <v>0</v>
      </c>
    </row>
    <row r="187" spans="1:18" x14ac:dyDescent="0.3">
      <c r="A187" t="s">
        <v>510</v>
      </c>
      <c r="B187" s="1">
        <v>44681</v>
      </c>
      <c r="C187" t="s">
        <v>34</v>
      </c>
      <c r="D187" t="str">
        <f>IF(Table1[[#This Row],[Status]]="Cancelled","Cancelled","Completed")</f>
        <v>Completed</v>
      </c>
      <c r="E187" t="s">
        <v>38</v>
      </c>
      <c r="F187" t="s">
        <v>20</v>
      </c>
      <c r="G187" t="s">
        <v>39</v>
      </c>
      <c r="H187" t="s">
        <v>511</v>
      </c>
      <c r="I187" t="s">
        <v>32</v>
      </c>
      <c r="J187" t="s">
        <v>105</v>
      </c>
      <c r="K187" t="s">
        <v>34</v>
      </c>
      <c r="L187">
        <v>1</v>
      </c>
      <c r="M187">
        <v>795</v>
      </c>
      <c r="N187" t="s">
        <v>512</v>
      </c>
      <c r="O187" t="s">
        <v>222</v>
      </c>
      <c r="P187" t="s">
        <v>27</v>
      </c>
      <c r="Q187" t="b">
        <v>0</v>
      </c>
    </row>
    <row r="188" spans="1:18" x14ac:dyDescent="0.3">
      <c r="A188" t="s">
        <v>513</v>
      </c>
      <c r="B188" s="1">
        <v>44681</v>
      </c>
      <c r="C188" t="s">
        <v>30</v>
      </c>
      <c r="D188" t="str">
        <f>IF(Table1[[#This Row],[Status]]="Cancelled","Cancelled","Completed")</f>
        <v>Completed</v>
      </c>
      <c r="E188" t="s">
        <v>19</v>
      </c>
      <c r="F188" t="s">
        <v>20</v>
      </c>
      <c r="G188" t="s">
        <v>21</v>
      </c>
      <c r="H188" t="s">
        <v>514</v>
      </c>
      <c r="I188" t="s">
        <v>45</v>
      </c>
      <c r="J188" t="s">
        <v>105</v>
      </c>
      <c r="K188" t="s">
        <v>34</v>
      </c>
      <c r="L188">
        <v>1</v>
      </c>
      <c r="M188">
        <v>744</v>
      </c>
      <c r="N188" t="s">
        <v>67</v>
      </c>
      <c r="O188" t="s">
        <v>52</v>
      </c>
      <c r="P188" t="s">
        <v>27</v>
      </c>
      <c r="Q188" t="b">
        <v>0</v>
      </c>
      <c r="R188" t="s">
        <v>28</v>
      </c>
    </row>
    <row r="189" spans="1:18" x14ac:dyDescent="0.3">
      <c r="A189" t="s">
        <v>515</v>
      </c>
      <c r="B189" s="1">
        <v>44681</v>
      </c>
      <c r="C189" t="s">
        <v>34</v>
      </c>
      <c r="D189" t="str">
        <f>IF(Table1[[#This Row],[Status]]="Cancelled","Cancelled","Completed")</f>
        <v>Completed</v>
      </c>
      <c r="E189" t="s">
        <v>38</v>
      </c>
      <c r="F189" t="s">
        <v>20</v>
      </c>
      <c r="G189" t="s">
        <v>39</v>
      </c>
      <c r="H189" t="s">
        <v>516</v>
      </c>
      <c r="I189" t="s">
        <v>32</v>
      </c>
      <c r="J189" t="s">
        <v>125</v>
      </c>
      <c r="K189" t="s">
        <v>34</v>
      </c>
      <c r="L189">
        <v>1</v>
      </c>
      <c r="M189">
        <v>692</v>
      </c>
      <c r="N189" t="s">
        <v>517</v>
      </c>
      <c r="O189" t="s">
        <v>56</v>
      </c>
      <c r="P189" t="s">
        <v>27</v>
      </c>
      <c r="Q189" t="b">
        <v>0</v>
      </c>
    </row>
    <row r="190" spans="1:18" x14ac:dyDescent="0.3">
      <c r="A190" t="s">
        <v>518</v>
      </c>
      <c r="B190" s="1">
        <v>44681</v>
      </c>
      <c r="C190" t="s">
        <v>34</v>
      </c>
      <c r="D190" t="str">
        <f>IF(Table1[[#This Row],[Status]]="Cancelled","Cancelled","Completed")</f>
        <v>Completed</v>
      </c>
      <c r="E190" t="s">
        <v>38</v>
      </c>
      <c r="F190" t="s">
        <v>20</v>
      </c>
      <c r="G190" t="s">
        <v>39</v>
      </c>
      <c r="H190" t="s">
        <v>519</v>
      </c>
      <c r="I190" t="s">
        <v>50</v>
      </c>
      <c r="J190" t="s">
        <v>105</v>
      </c>
      <c r="K190" t="s">
        <v>34</v>
      </c>
      <c r="L190">
        <v>1</v>
      </c>
      <c r="M190">
        <v>563</v>
      </c>
      <c r="N190" t="s">
        <v>520</v>
      </c>
      <c r="O190" t="s">
        <v>293</v>
      </c>
      <c r="P190" t="s">
        <v>27</v>
      </c>
      <c r="Q190" t="b">
        <v>0</v>
      </c>
    </row>
    <row r="191" spans="1:18" x14ac:dyDescent="0.3">
      <c r="A191" t="s">
        <v>521</v>
      </c>
      <c r="B191" s="1">
        <v>44681</v>
      </c>
      <c r="C191" t="s">
        <v>34</v>
      </c>
      <c r="D191" t="str">
        <f>IF(Table1[[#This Row],[Status]]="Cancelled","Cancelled","Completed")</f>
        <v>Completed</v>
      </c>
      <c r="E191" t="s">
        <v>38</v>
      </c>
      <c r="F191" t="s">
        <v>20</v>
      </c>
      <c r="G191" t="s">
        <v>39</v>
      </c>
      <c r="H191" t="s">
        <v>522</v>
      </c>
      <c r="I191" t="s">
        <v>50</v>
      </c>
      <c r="J191" t="s">
        <v>105</v>
      </c>
      <c r="K191" t="s">
        <v>34</v>
      </c>
      <c r="L191">
        <v>1</v>
      </c>
      <c r="M191">
        <v>545</v>
      </c>
      <c r="N191" t="s">
        <v>35</v>
      </c>
      <c r="O191" t="s">
        <v>36</v>
      </c>
      <c r="P191" t="s">
        <v>27</v>
      </c>
      <c r="Q191" t="b">
        <v>0</v>
      </c>
    </row>
    <row r="192" spans="1:18" x14ac:dyDescent="0.3">
      <c r="A192" t="s">
        <v>523</v>
      </c>
      <c r="B192" s="1">
        <v>44681</v>
      </c>
      <c r="C192" t="s">
        <v>34</v>
      </c>
      <c r="D192" t="str">
        <f>IF(Table1[[#This Row],[Status]]="Cancelled","Cancelled","Completed")</f>
        <v>Completed</v>
      </c>
      <c r="E192" t="s">
        <v>38</v>
      </c>
      <c r="F192" t="s">
        <v>20</v>
      </c>
      <c r="G192" t="s">
        <v>39</v>
      </c>
      <c r="H192" t="s">
        <v>524</v>
      </c>
      <c r="I192" t="s">
        <v>23</v>
      </c>
      <c r="J192" t="s">
        <v>46</v>
      </c>
      <c r="K192" t="s">
        <v>34</v>
      </c>
      <c r="L192">
        <v>1</v>
      </c>
      <c r="M192">
        <v>999</v>
      </c>
      <c r="N192" t="s">
        <v>525</v>
      </c>
      <c r="O192" t="s">
        <v>526</v>
      </c>
      <c r="P192" t="s">
        <v>27</v>
      </c>
      <c r="Q192" t="b">
        <v>0</v>
      </c>
    </row>
    <row r="193" spans="1:18" x14ac:dyDescent="0.3">
      <c r="A193" t="s">
        <v>527</v>
      </c>
      <c r="B193" s="1">
        <v>44681</v>
      </c>
      <c r="C193" t="s">
        <v>34</v>
      </c>
      <c r="D193" t="str">
        <f>IF(Table1[[#This Row],[Status]]="Cancelled","Cancelled","Completed")</f>
        <v>Completed</v>
      </c>
      <c r="E193" t="s">
        <v>38</v>
      </c>
      <c r="F193" t="s">
        <v>20</v>
      </c>
      <c r="G193" t="s">
        <v>39</v>
      </c>
      <c r="H193" t="s">
        <v>189</v>
      </c>
      <c r="I193" t="s">
        <v>23</v>
      </c>
      <c r="J193" t="s">
        <v>105</v>
      </c>
      <c r="K193" t="s">
        <v>34</v>
      </c>
      <c r="L193">
        <v>1</v>
      </c>
      <c r="M193">
        <v>654</v>
      </c>
      <c r="N193" t="s">
        <v>172</v>
      </c>
      <c r="O193" t="s">
        <v>173</v>
      </c>
      <c r="P193" t="s">
        <v>27</v>
      </c>
      <c r="Q193" t="b">
        <v>0</v>
      </c>
    </row>
    <row r="194" spans="1:18" x14ac:dyDescent="0.3">
      <c r="A194" t="s">
        <v>528</v>
      </c>
      <c r="B194" s="1">
        <v>44681</v>
      </c>
      <c r="C194" t="s">
        <v>34</v>
      </c>
      <c r="D194" t="str">
        <f>IF(Table1[[#This Row],[Status]]="Cancelled","Cancelled","Completed")</f>
        <v>Completed</v>
      </c>
      <c r="E194" t="s">
        <v>38</v>
      </c>
      <c r="F194" t="s">
        <v>20</v>
      </c>
      <c r="G194" t="s">
        <v>39</v>
      </c>
      <c r="H194" t="s">
        <v>529</v>
      </c>
      <c r="I194" t="s">
        <v>50</v>
      </c>
      <c r="J194" t="s">
        <v>24</v>
      </c>
      <c r="K194" t="s">
        <v>34</v>
      </c>
      <c r="L194">
        <v>1</v>
      </c>
      <c r="M194">
        <v>588</v>
      </c>
      <c r="N194" t="s">
        <v>530</v>
      </c>
      <c r="O194" t="s">
        <v>26</v>
      </c>
      <c r="P194" t="s">
        <v>27</v>
      </c>
      <c r="Q194" t="b">
        <v>0</v>
      </c>
    </row>
    <row r="195" spans="1:18" x14ac:dyDescent="0.3">
      <c r="A195" t="s">
        <v>531</v>
      </c>
      <c r="B195" s="1">
        <v>44681</v>
      </c>
      <c r="C195" t="s">
        <v>30</v>
      </c>
      <c r="D195" t="str">
        <f>IF(Table1[[#This Row],[Status]]="Cancelled","Cancelled","Completed")</f>
        <v>Completed</v>
      </c>
      <c r="E195" t="s">
        <v>19</v>
      </c>
      <c r="F195" t="s">
        <v>20</v>
      </c>
      <c r="G195" t="s">
        <v>21</v>
      </c>
      <c r="H195" t="s">
        <v>532</v>
      </c>
      <c r="I195" t="s">
        <v>32</v>
      </c>
      <c r="J195" t="s">
        <v>24</v>
      </c>
      <c r="K195" t="s">
        <v>34</v>
      </c>
      <c r="L195">
        <v>1</v>
      </c>
      <c r="M195">
        <v>497</v>
      </c>
      <c r="N195" t="s">
        <v>92</v>
      </c>
      <c r="O195" t="s">
        <v>93</v>
      </c>
      <c r="P195" t="s">
        <v>27</v>
      </c>
      <c r="Q195" t="b">
        <v>0</v>
      </c>
      <c r="R195" t="s">
        <v>28</v>
      </c>
    </row>
    <row r="196" spans="1:18" x14ac:dyDescent="0.3">
      <c r="A196" t="s">
        <v>533</v>
      </c>
      <c r="B196" s="1">
        <v>44681</v>
      </c>
      <c r="C196" t="s">
        <v>34</v>
      </c>
      <c r="D196" t="str">
        <f>IF(Table1[[#This Row],[Status]]="Cancelled","Cancelled","Completed")</f>
        <v>Completed</v>
      </c>
      <c r="E196" t="s">
        <v>38</v>
      </c>
      <c r="F196" t="s">
        <v>20</v>
      </c>
      <c r="G196" t="s">
        <v>39</v>
      </c>
      <c r="H196" t="s">
        <v>101</v>
      </c>
      <c r="I196" t="s">
        <v>32</v>
      </c>
      <c r="J196" t="s">
        <v>33</v>
      </c>
      <c r="K196" t="s">
        <v>34</v>
      </c>
      <c r="L196">
        <v>1</v>
      </c>
      <c r="M196">
        <v>517</v>
      </c>
      <c r="N196" t="s">
        <v>534</v>
      </c>
      <c r="O196" t="s">
        <v>89</v>
      </c>
      <c r="P196" t="s">
        <v>27</v>
      </c>
      <c r="Q196" t="b">
        <v>0</v>
      </c>
    </row>
    <row r="197" spans="1:18" x14ac:dyDescent="0.3">
      <c r="A197" t="s">
        <v>535</v>
      </c>
      <c r="B197" s="1">
        <v>44681</v>
      </c>
      <c r="C197" t="s">
        <v>34</v>
      </c>
      <c r="D197" t="str">
        <f>IF(Table1[[#This Row],[Status]]="Cancelled","Cancelled","Completed")</f>
        <v>Completed</v>
      </c>
      <c r="E197" t="s">
        <v>38</v>
      </c>
      <c r="F197" t="s">
        <v>20</v>
      </c>
      <c r="G197" t="s">
        <v>39</v>
      </c>
      <c r="H197" t="s">
        <v>536</v>
      </c>
      <c r="I197" t="s">
        <v>23</v>
      </c>
      <c r="J197" t="s">
        <v>105</v>
      </c>
      <c r="K197" t="s">
        <v>34</v>
      </c>
      <c r="L197">
        <v>1</v>
      </c>
      <c r="M197">
        <v>1115</v>
      </c>
      <c r="N197" t="s">
        <v>537</v>
      </c>
      <c r="O197" t="s">
        <v>538</v>
      </c>
      <c r="P197" t="s">
        <v>27</v>
      </c>
      <c r="Q197" t="b">
        <v>0</v>
      </c>
    </row>
    <row r="198" spans="1:18" x14ac:dyDescent="0.3">
      <c r="A198" t="s">
        <v>539</v>
      </c>
      <c r="B198" s="1">
        <v>44681</v>
      </c>
      <c r="C198" t="s">
        <v>34</v>
      </c>
      <c r="D198" t="str">
        <f>IF(Table1[[#This Row],[Status]]="Cancelled","Cancelled","Completed")</f>
        <v>Completed</v>
      </c>
      <c r="E198" t="s">
        <v>38</v>
      </c>
      <c r="F198" t="s">
        <v>20</v>
      </c>
      <c r="G198" t="s">
        <v>21</v>
      </c>
      <c r="H198" t="s">
        <v>540</v>
      </c>
      <c r="I198" t="s">
        <v>23</v>
      </c>
      <c r="J198" t="s">
        <v>33</v>
      </c>
      <c r="K198" t="s">
        <v>34</v>
      </c>
      <c r="L198">
        <v>1</v>
      </c>
      <c r="M198">
        <v>582</v>
      </c>
      <c r="N198" t="s">
        <v>541</v>
      </c>
      <c r="O198" t="s">
        <v>173</v>
      </c>
      <c r="P198" t="s">
        <v>27</v>
      </c>
      <c r="Q198" t="b">
        <v>0</v>
      </c>
    </row>
    <row r="199" spans="1:18" x14ac:dyDescent="0.3">
      <c r="A199" t="s">
        <v>542</v>
      </c>
      <c r="B199" s="1">
        <v>44681</v>
      </c>
      <c r="C199" t="s">
        <v>34</v>
      </c>
      <c r="D199" t="str">
        <f>IF(Table1[[#This Row],[Status]]="Cancelled","Cancelled","Completed")</f>
        <v>Completed</v>
      </c>
      <c r="E199" t="s">
        <v>38</v>
      </c>
      <c r="F199" t="s">
        <v>20</v>
      </c>
      <c r="G199" t="s">
        <v>39</v>
      </c>
      <c r="H199" t="s">
        <v>543</v>
      </c>
      <c r="I199" t="s">
        <v>23</v>
      </c>
      <c r="J199" t="s">
        <v>33</v>
      </c>
      <c r="K199" t="s">
        <v>34</v>
      </c>
      <c r="L199">
        <v>1</v>
      </c>
      <c r="M199">
        <v>449</v>
      </c>
      <c r="N199" t="s">
        <v>541</v>
      </c>
      <c r="O199" t="s">
        <v>173</v>
      </c>
      <c r="P199" t="s">
        <v>27</v>
      </c>
      <c r="Q199" t="b">
        <v>0</v>
      </c>
    </row>
    <row r="200" spans="1:18" x14ac:dyDescent="0.3">
      <c r="A200" t="s">
        <v>544</v>
      </c>
      <c r="B200" s="1">
        <v>44681</v>
      </c>
      <c r="C200" t="s">
        <v>34</v>
      </c>
      <c r="D200" t="str">
        <f>IF(Table1[[#This Row],[Status]]="Cancelled","Cancelled","Completed")</f>
        <v>Completed</v>
      </c>
      <c r="E200" t="s">
        <v>38</v>
      </c>
      <c r="F200" t="s">
        <v>20</v>
      </c>
      <c r="G200" t="s">
        <v>39</v>
      </c>
      <c r="H200" t="s">
        <v>545</v>
      </c>
      <c r="I200" t="s">
        <v>32</v>
      </c>
      <c r="J200" t="s">
        <v>105</v>
      </c>
      <c r="K200" t="s">
        <v>34</v>
      </c>
      <c r="L200">
        <v>1</v>
      </c>
      <c r="M200">
        <v>375</v>
      </c>
      <c r="N200" t="s">
        <v>35</v>
      </c>
      <c r="O200" t="s">
        <v>36</v>
      </c>
      <c r="P200" t="s">
        <v>27</v>
      </c>
      <c r="Q200" t="b">
        <v>0</v>
      </c>
    </row>
    <row r="201" spans="1:18" x14ac:dyDescent="0.3">
      <c r="A201" t="s">
        <v>546</v>
      </c>
      <c r="B201" s="1">
        <v>44681</v>
      </c>
      <c r="C201" t="s">
        <v>34</v>
      </c>
      <c r="D201" t="str">
        <f>IF(Table1[[#This Row],[Status]]="Cancelled","Cancelled","Completed")</f>
        <v>Completed</v>
      </c>
      <c r="E201" t="s">
        <v>38</v>
      </c>
      <c r="F201" t="s">
        <v>20</v>
      </c>
      <c r="G201" t="s">
        <v>39</v>
      </c>
      <c r="H201" t="s">
        <v>547</v>
      </c>
      <c r="I201" t="s">
        <v>23</v>
      </c>
      <c r="J201" t="s">
        <v>105</v>
      </c>
      <c r="K201" t="s">
        <v>34</v>
      </c>
      <c r="L201">
        <v>1</v>
      </c>
      <c r="M201">
        <v>771</v>
      </c>
      <c r="N201" t="s">
        <v>548</v>
      </c>
      <c r="O201" t="s">
        <v>222</v>
      </c>
      <c r="P201" t="s">
        <v>27</v>
      </c>
      <c r="Q201" t="b">
        <v>0</v>
      </c>
    </row>
    <row r="202" spans="1:18" x14ac:dyDescent="0.3">
      <c r="A202" t="s">
        <v>549</v>
      </c>
      <c r="B202" s="1">
        <v>44681</v>
      </c>
      <c r="C202" t="s">
        <v>34</v>
      </c>
      <c r="D202" t="str">
        <f>IF(Table1[[#This Row],[Status]]="Cancelled","Cancelled","Completed")</f>
        <v>Completed</v>
      </c>
      <c r="E202" t="s">
        <v>38</v>
      </c>
      <c r="F202" t="s">
        <v>20</v>
      </c>
      <c r="G202" t="s">
        <v>39</v>
      </c>
      <c r="H202" t="s">
        <v>153</v>
      </c>
      <c r="I202" t="s">
        <v>32</v>
      </c>
      <c r="J202" t="s">
        <v>46</v>
      </c>
      <c r="K202" t="s">
        <v>34</v>
      </c>
      <c r="L202">
        <v>1</v>
      </c>
      <c r="M202">
        <v>399</v>
      </c>
      <c r="N202" t="s">
        <v>102</v>
      </c>
      <c r="O202" t="s">
        <v>52</v>
      </c>
      <c r="P202" t="s">
        <v>27</v>
      </c>
      <c r="Q202" t="b">
        <v>0</v>
      </c>
    </row>
    <row r="203" spans="1:18" x14ac:dyDescent="0.3">
      <c r="A203" t="s">
        <v>550</v>
      </c>
      <c r="B203" s="1">
        <v>44681</v>
      </c>
      <c r="C203" t="s">
        <v>30</v>
      </c>
      <c r="D203" t="str">
        <f>IF(Table1[[#This Row],[Status]]="Cancelled","Cancelled","Completed")</f>
        <v>Completed</v>
      </c>
      <c r="E203" t="s">
        <v>19</v>
      </c>
      <c r="F203" t="s">
        <v>20</v>
      </c>
      <c r="G203" t="s">
        <v>21</v>
      </c>
      <c r="H203" t="s">
        <v>551</v>
      </c>
      <c r="I203" t="s">
        <v>32</v>
      </c>
      <c r="J203" t="s">
        <v>66</v>
      </c>
      <c r="K203" t="s">
        <v>34</v>
      </c>
      <c r="L203">
        <v>1</v>
      </c>
      <c r="M203">
        <v>0</v>
      </c>
      <c r="N203" t="s">
        <v>552</v>
      </c>
      <c r="O203" t="s">
        <v>142</v>
      </c>
      <c r="P203" t="s">
        <v>27</v>
      </c>
      <c r="Q203" t="b">
        <v>0</v>
      </c>
      <c r="R203" t="s">
        <v>28</v>
      </c>
    </row>
    <row r="204" spans="1:18" x14ac:dyDescent="0.3">
      <c r="A204" t="s">
        <v>553</v>
      </c>
      <c r="B204" s="1">
        <v>44681</v>
      </c>
      <c r="C204" t="s">
        <v>34</v>
      </c>
      <c r="D204" t="str">
        <f>IF(Table1[[#This Row],[Status]]="Cancelled","Cancelled","Completed")</f>
        <v>Completed</v>
      </c>
      <c r="E204" t="s">
        <v>38</v>
      </c>
      <c r="F204" t="s">
        <v>20</v>
      </c>
      <c r="G204" t="s">
        <v>39</v>
      </c>
      <c r="H204" t="s">
        <v>554</v>
      </c>
      <c r="I204" t="s">
        <v>23</v>
      </c>
      <c r="J204" t="s">
        <v>33</v>
      </c>
      <c r="K204" t="s">
        <v>34</v>
      </c>
      <c r="L204">
        <v>1</v>
      </c>
      <c r="M204">
        <v>654</v>
      </c>
      <c r="N204" t="s">
        <v>555</v>
      </c>
      <c r="O204" t="s">
        <v>56</v>
      </c>
      <c r="P204" t="s">
        <v>27</v>
      </c>
      <c r="Q204" t="b">
        <v>0</v>
      </c>
    </row>
    <row r="205" spans="1:18" x14ac:dyDescent="0.3">
      <c r="A205" t="s">
        <v>556</v>
      </c>
      <c r="B205" s="1">
        <v>44681</v>
      </c>
      <c r="C205" t="s">
        <v>34</v>
      </c>
      <c r="D205" t="str">
        <f>IF(Table1[[#This Row],[Status]]="Cancelled","Cancelled","Completed")</f>
        <v>Completed</v>
      </c>
      <c r="E205" t="s">
        <v>38</v>
      </c>
      <c r="F205" t="s">
        <v>20</v>
      </c>
      <c r="G205" t="s">
        <v>39</v>
      </c>
      <c r="H205" t="s">
        <v>557</v>
      </c>
      <c r="I205" t="s">
        <v>32</v>
      </c>
      <c r="J205" t="s">
        <v>24</v>
      </c>
      <c r="K205" t="s">
        <v>34</v>
      </c>
      <c r="L205">
        <v>1</v>
      </c>
      <c r="M205">
        <v>424</v>
      </c>
      <c r="N205" t="s">
        <v>558</v>
      </c>
      <c r="O205" t="s">
        <v>155</v>
      </c>
      <c r="P205" t="s">
        <v>27</v>
      </c>
      <c r="Q205" t="b">
        <v>0</v>
      </c>
    </row>
    <row r="206" spans="1:18" x14ac:dyDescent="0.3">
      <c r="A206" t="s">
        <v>559</v>
      </c>
      <c r="B206" s="1">
        <v>44681</v>
      </c>
      <c r="C206" t="s">
        <v>34</v>
      </c>
      <c r="D206" t="str">
        <f>IF(Table1[[#This Row],[Status]]="Cancelled","Cancelled","Completed")</f>
        <v>Completed</v>
      </c>
      <c r="E206" t="s">
        <v>38</v>
      </c>
      <c r="F206" t="s">
        <v>20</v>
      </c>
      <c r="G206" t="s">
        <v>39</v>
      </c>
      <c r="H206" t="s">
        <v>560</v>
      </c>
      <c r="I206" t="s">
        <v>50</v>
      </c>
      <c r="J206" t="s">
        <v>72</v>
      </c>
      <c r="K206" t="s">
        <v>34</v>
      </c>
      <c r="L206">
        <v>1</v>
      </c>
      <c r="M206">
        <v>432</v>
      </c>
      <c r="N206" t="s">
        <v>126</v>
      </c>
      <c r="O206" t="s">
        <v>26</v>
      </c>
      <c r="P206" t="s">
        <v>27</v>
      </c>
      <c r="Q206" t="b">
        <v>0</v>
      </c>
    </row>
    <row r="207" spans="1:18" x14ac:dyDescent="0.3">
      <c r="A207" t="s">
        <v>561</v>
      </c>
      <c r="B207" s="1">
        <v>44681</v>
      </c>
      <c r="C207" t="s">
        <v>30</v>
      </c>
      <c r="D207" t="str">
        <f>IF(Table1[[#This Row],[Status]]="Cancelled","Cancelled","Completed")</f>
        <v>Completed</v>
      </c>
      <c r="E207" t="s">
        <v>19</v>
      </c>
      <c r="F207" t="s">
        <v>20</v>
      </c>
      <c r="G207" t="s">
        <v>21</v>
      </c>
      <c r="H207" t="s">
        <v>562</v>
      </c>
      <c r="I207" t="s">
        <v>50</v>
      </c>
      <c r="J207" t="s">
        <v>72</v>
      </c>
      <c r="K207" t="s">
        <v>34</v>
      </c>
      <c r="L207">
        <v>1</v>
      </c>
      <c r="M207">
        <v>399</v>
      </c>
      <c r="N207" t="s">
        <v>126</v>
      </c>
      <c r="O207" t="s">
        <v>26</v>
      </c>
      <c r="P207" t="s">
        <v>27</v>
      </c>
      <c r="Q207" t="b">
        <v>0</v>
      </c>
      <c r="R207" t="s">
        <v>28</v>
      </c>
    </row>
    <row r="208" spans="1:18" x14ac:dyDescent="0.3">
      <c r="A208" t="s">
        <v>563</v>
      </c>
      <c r="B208" s="1">
        <v>44681</v>
      </c>
      <c r="C208" t="s">
        <v>34</v>
      </c>
      <c r="D208" t="str">
        <f>IF(Table1[[#This Row],[Status]]="Cancelled","Cancelled","Completed")</f>
        <v>Completed</v>
      </c>
      <c r="E208" t="s">
        <v>38</v>
      </c>
      <c r="F208" t="s">
        <v>20</v>
      </c>
      <c r="G208" t="s">
        <v>39</v>
      </c>
      <c r="H208" t="s">
        <v>564</v>
      </c>
      <c r="I208" t="s">
        <v>32</v>
      </c>
      <c r="J208" t="s">
        <v>46</v>
      </c>
      <c r="K208" t="s">
        <v>34</v>
      </c>
      <c r="L208">
        <v>1</v>
      </c>
      <c r="M208">
        <v>399</v>
      </c>
      <c r="N208" t="s">
        <v>565</v>
      </c>
      <c r="O208" t="s">
        <v>36</v>
      </c>
      <c r="P208" t="s">
        <v>27</v>
      </c>
      <c r="Q208" t="b">
        <v>0</v>
      </c>
    </row>
    <row r="209" spans="1:18" x14ac:dyDescent="0.3">
      <c r="A209" t="s">
        <v>566</v>
      </c>
      <c r="B209" s="1">
        <v>44681</v>
      </c>
      <c r="C209" t="s">
        <v>34</v>
      </c>
      <c r="D209" t="str">
        <f>IF(Table1[[#This Row],[Status]]="Cancelled","Cancelled","Completed")</f>
        <v>Completed</v>
      </c>
      <c r="E209" t="s">
        <v>38</v>
      </c>
      <c r="F209" t="s">
        <v>20</v>
      </c>
      <c r="G209" t="s">
        <v>39</v>
      </c>
      <c r="H209" t="s">
        <v>567</v>
      </c>
      <c r="I209" t="s">
        <v>23</v>
      </c>
      <c r="J209" t="s">
        <v>24</v>
      </c>
      <c r="K209" t="s">
        <v>34</v>
      </c>
      <c r="L209">
        <v>1</v>
      </c>
      <c r="M209">
        <v>597</v>
      </c>
      <c r="N209" t="s">
        <v>568</v>
      </c>
      <c r="O209" t="s">
        <v>155</v>
      </c>
      <c r="P209" t="s">
        <v>27</v>
      </c>
      <c r="Q209" t="b">
        <v>0</v>
      </c>
    </row>
    <row r="210" spans="1:18" x14ac:dyDescent="0.3">
      <c r="A210" t="s">
        <v>569</v>
      </c>
      <c r="B210" s="1">
        <v>44681</v>
      </c>
      <c r="C210" t="s">
        <v>34</v>
      </c>
      <c r="D210" t="str">
        <f>IF(Table1[[#This Row],[Status]]="Cancelled","Cancelled","Completed")</f>
        <v>Completed</v>
      </c>
      <c r="E210" t="s">
        <v>38</v>
      </c>
      <c r="F210" t="s">
        <v>20</v>
      </c>
      <c r="G210" t="s">
        <v>39</v>
      </c>
      <c r="H210" t="s">
        <v>570</v>
      </c>
      <c r="I210" t="s">
        <v>50</v>
      </c>
      <c r="J210" t="s">
        <v>105</v>
      </c>
      <c r="K210" t="s">
        <v>34</v>
      </c>
      <c r="L210">
        <v>1</v>
      </c>
      <c r="M210">
        <v>463</v>
      </c>
      <c r="N210" t="s">
        <v>73</v>
      </c>
      <c r="O210" t="s">
        <v>56</v>
      </c>
      <c r="P210" t="s">
        <v>27</v>
      </c>
      <c r="Q210" t="b">
        <v>0</v>
      </c>
    </row>
    <row r="211" spans="1:18" x14ac:dyDescent="0.3">
      <c r="A211" t="s">
        <v>571</v>
      </c>
      <c r="B211" s="1">
        <v>44681</v>
      </c>
      <c r="C211" t="s">
        <v>34</v>
      </c>
      <c r="D211" t="str">
        <f>IF(Table1[[#This Row],[Status]]="Cancelled","Cancelled","Completed")</f>
        <v>Completed</v>
      </c>
      <c r="E211" t="s">
        <v>38</v>
      </c>
      <c r="F211" t="s">
        <v>20</v>
      </c>
      <c r="G211" t="s">
        <v>39</v>
      </c>
      <c r="H211" t="s">
        <v>572</v>
      </c>
      <c r="I211" t="s">
        <v>32</v>
      </c>
      <c r="J211" t="s">
        <v>41</v>
      </c>
      <c r="K211" t="s">
        <v>34</v>
      </c>
      <c r="L211">
        <v>1</v>
      </c>
      <c r="M211">
        <v>484</v>
      </c>
      <c r="N211" t="s">
        <v>159</v>
      </c>
      <c r="O211" t="s">
        <v>56</v>
      </c>
      <c r="P211" t="s">
        <v>27</v>
      </c>
      <c r="Q211" t="b">
        <v>0</v>
      </c>
    </row>
    <row r="212" spans="1:18" x14ac:dyDescent="0.3">
      <c r="A212" t="s">
        <v>573</v>
      </c>
      <c r="B212" s="1">
        <v>44681</v>
      </c>
      <c r="C212" t="s">
        <v>34</v>
      </c>
      <c r="D212" t="str">
        <f>IF(Table1[[#This Row],[Status]]="Cancelled","Cancelled","Completed")</f>
        <v>Completed</v>
      </c>
      <c r="E212" t="s">
        <v>38</v>
      </c>
      <c r="F212" t="s">
        <v>20</v>
      </c>
      <c r="G212" t="s">
        <v>39</v>
      </c>
      <c r="H212" t="s">
        <v>574</v>
      </c>
      <c r="I212" t="s">
        <v>32</v>
      </c>
      <c r="J212" t="s">
        <v>24</v>
      </c>
      <c r="K212" t="s">
        <v>34</v>
      </c>
      <c r="L212">
        <v>1</v>
      </c>
      <c r="M212">
        <v>635</v>
      </c>
      <c r="N212" t="s">
        <v>282</v>
      </c>
      <c r="O212" t="s">
        <v>283</v>
      </c>
      <c r="P212" t="s">
        <v>27</v>
      </c>
      <c r="Q212" t="b">
        <v>0</v>
      </c>
    </row>
    <row r="213" spans="1:18" x14ac:dyDescent="0.3">
      <c r="A213" t="s">
        <v>575</v>
      </c>
      <c r="B213" s="1">
        <v>44681</v>
      </c>
      <c r="C213" t="s">
        <v>34</v>
      </c>
      <c r="D213" t="str">
        <f>IF(Table1[[#This Row],[Status]]="Cancelled","Cancelled","Completed")</f>
        <v>Completed</v>
      </c>
      <c r="E213" t="s">
        <v>38</v>
      </c>
      <c r="F213" t="s">
        <v>20</v>
      </c>
      <c r="G213" t="s">
        <v>39</v>
      </c>
      <c r="H213" t="s">
        <v>576</v>
      </c>
      <c r="I213" t="s">
        <v>32</v>
      </c>
      <c r="J213" t="s">
        <v>66</v>
      </c>
      <c r="K213" t="s">
        <v>34</v>
      </c>
      <c r="L213">
        <v>1</v>
      </c>
      <c r="M213">
        <v>685</v>
      </c>
      <c r="N213" t="s">
        <v>577</v>
      </c>
      <c r="O213" t="s">
        <v>114</v>
      </c>
      <c r="P213" t="s">
        <v>27</v>
      </c>
      <c r="Q213" t="b">
        <v>0</v>
      </c>
    </row>
    <row r="214" spans="1:18" x14ac:dyDescent="0.3">
      <c r="A214" t="s">
        <v>578</v>
      </c>
      <c r="B214" s="1">
        <v>44681</v>
      </c>
      <c r="C214" t="s">
        <v>30</v>
      </c>
      <c r="D214" t="str">
        <f>IF(Table1[[#This Row],[Status]]="Cancelled","Cancelled","Completed")</f>
        <v>Completed</v>
      </c>
      <c r="E214" t="s">
        <v>19</v>
      </c>
      <c r="F214" t="s">
        <v>20</v>
      </c>
      <c r="G214" t="s">
        <v>21</v>
      </c>
      <c r="H214" t="s">
        <v>579</v>
      </c>
      <c r="I214" t="s">
        <v>45</v>
      </c>
      <c r="J214" t="s">
        <v>105</v>
      </c>
      <c r="K214" t="s">
        <v>34</v>
      </c>
      <c r="L214">
        <v>1</v>
      </c>
      <c r="M214">
        <v>725</v>
      </c>
      <c r="N214" t="s">
        <v>580</v>
      </c>
      <c r="O214" t="s">
        <v>283</v>
      </c>
      <c r="P214" t="s">
        <v>27</v>
      </c>
      <c r="Q214" t="b">
        <v>0</v>
      </c>
      <c r="R214" t="s">
        <v>28</v>
      </c>
    </row>
    <row r="215" spans="1:18" x14ac:dyDescent="0.3">
      <c r="A215" t="s">
        <v>581</v>
      </c>
      <c r="B215" s="1">
        <v>44681</v>
      </c>
      <c r="C215" t="s">
        <v>34</v>
      </c>
      <c r="D215" t="str">
        <f>IF(Table1[[#This Row],[Status]]="Cancelled","Cancelled","Completed")</f>
        <v>Completed</v>
      </c>
      <c r="E215" t="s">
        <v>38</v>
      </c>
      <c r="F215" t="s">
        <v>20</v>
      </c>
      <c r="G215" t="s">
        <v>39</v>
      </c>
      <c r="H215" t="s">
        <v>582</v>
      </c>
      <c r="I215" t="s">
        <v>50</v>
      </c>
      <c r="J215" t="s">
        <v>41</v>
      </c>
      <c r="K215" t="s">
        <v>34</v>
      </c>
      <c r="L215">
        <v>1</v>
      </c>
      <c r="M215">
        <v>487</v>
      </c>
      <c r="N215" t="s">
        <v>35</v>
      </c>
      <c r="O215" t="s">
        <v>36</v>
      </c>
      <c r="P215" t="s">
        <v>27</v>
      </c>
      <c r="Q215" t="b">
        <v>0</v>
      </c>
    </row>
    <row r="216" spans="1:18" x14ac:dyDescent="0.3">
      <c r="A216" t="s">
        <v>583</v>
      </c>
      <c r="B216" s="1">
        <v>44681</v>
      </c>
      <c r="C216" t="s">
        <v>18</v>
      </c>
      <c r="D216" t="str">
        <f>IF(Table1[[#This Row],[Status]]="Cancelled","Cancelled","Completed")</f>
        <v>Cancelled</v>
      </c>
      <c r="E216" t="s">
        <v>19</v>
      </c>
      <c r="F216" t="s">
        <v>20</v>
      </c>
      <c r="G216" t="s">
        <v>21</v>
      </c>
      <c r="H216" t="s">
        <v>584</v>
      </c>
      <c r="I216" t="s">
        <v>23</v>
      </c>
      <c r="J216" t="s">
        <v>66</v>
      </c>
      <c r="L216">
        <v>0</v>
      </c>
      <c r="M216">
        <v>1249.1099999999999</v>
      </c>
      <c r="N216" t="s">
        <v>457</v>
      </c>
      <c r="O216" t="s">
        <v>97</v>
      </c>
      <c r="P216" t="s">
        <v>27</v>
      </c>
      <c r="Q216" t="b">
        <v>0</v>
      </c>
      <c r="R216" t="s">
        <v>28</v>
      </c>
    </row>
    <row r="217" spans="1:18" x14ac:dyDescent="0.3">
      <c r="A217" t="s">
        <v>583</v>
      </c>
      <c r="B217" s="1">
        <v>44681</v>
      </c>
      <c r="C217" t="s">
        <v>18</v>
      </c>
      <c r="D217" t="str">
        <f>IF(Table1[[#This Row],[Status]]="Cancelled","Cancelled","Completed")</f>
        <v>Cancelled</v>
      </c>
      <c r="E217" t="s">
        <v>19</v>
      </c>
      <c r="F217" t="s">
        <v>20</v>
      </c>
      <c r="G217" t="s">
        <v>21</v>
      </c>
      <c r="H217" t="s">
        <v>585</v>
      </c>
      <c r="I217" t="s">
        <v>23</v>
      </c>
      <c r="J217" t="s">
        <v>66</v>
      </c>
      <c r="L217">
        <v>0</v>
      </c>
      <c r="M217">
        <v>1058.93</v>
      </c>
      <c r="N217" t="s">
        <v>457</v>
      </c>
      <c r="O217" t="s">
        <v>97</v>
      </c>
      <c r="P217" t="s">
        <v>27</v>
      </c>
      <c r="Q217" t="b">
        <v>0</v>
      </c>
      <c r="R217" t="s">
        <v>28</v>
      </c>
    </row>
    <row r="218" spans="1:18" x14ac:dyDescent="0.3">
      <c r="A218" t="s">
        <v>586</v>
      </c>
      <c r="B218" s="1">
        <v>44681</v>
      </c>
      <c r="C218" t="s">
        <v>34</v>
      </c>
      <c r="D218" t="str">
        <f>IF(Table1[[#This Row],[Status]]="Cancelled","Cancelled","Completed")</f>
        <v>Completed</v>
      </c>
      <c r="E218" t="s">
        <v>38</v>
      </c>
      <c r="F218" t="s">
        <v>20</v>
      </c>
      <c r="G218" t="s">
        <v>39</v>
      </c>
      <c r="H218" t="s">
        <v>587</v>
      </c>
      <c r="I218" t="s">
        <v>23</v>
      </c>
      <c r="J218" t="s">
        <v>41</v>
      </c>
      <c r="K218" t="s">
        <v>34</v>
      </c>
      <c r="L218">
        <v>1</v>
      </c>
      <c r="M218">
        <v>696</v>
      </c>
      <c r="N218" t="s">
        <v>588</v>
      </c>
      <c r="O218" t="s">
        <v>155</v>
      </c>
      <c r="P218" t="s">
        <v>27</v>
      </c>
      <c r="Q218" t="b">
        <v>0</v>
      </c>
    </row>
    <row r="219" spans="1:18" x14ac:dyDescent="0.3">
      <c r="A219" t="s">
        <v>589</v>
      </c>
      <c r="B219" s="1">
        <v>44681</v>
      </c>
      <c r="C219" t="s">
        <v>34</v>
      </c>
      <c r="D219" t="str">
        <f>IF(Table1[[#This Row],[Status]]="Cancelled","Cancelled","Completed")</f>
        <v>Completed</v>
      </c>
      <c r="E219" t="s">
        <v>38</v>
      </c>
      <c r="F219" t="s">
        <v>20</v>
      </c>
      <c r="G219" t="s">
        <v>39</v>
      </c>
      <c r="H219" t="s">
        <v>590</v>
      </c>
      <c r="I219" t="s">
        <v>32</v>
      </c>
      <c r="J219" t="s">
        <v>105</v>
      </c>
      <c r="K219" t="s">
        <v>34</v>
      </c>
      <c r="L219">
        <v>1</v>
      </c>
      <c r="M219">
        <v>329</v>
      </c>
      <c r="N219" t="s">
        <v>62</v>
      </c>
      <c r="O219" t="s">
        <v>63</v>
      </c>
      <c r="P219" t="s">
        <v>27</v>
      </c>
      <c r="Q219" t="b">
        <v>0</v>
      </c>
    </row>
    <row r="220" spans="1:18" x14ac:dyDescent="0.3">
      <c r="A220" t="s">
        <v>591</v>
      </c>
      <c r="B220" s="1">
        <v>44681</v>
      </c>
      <c r="C220" t="s">
        <v>34</v>
      </c>
      <c r="D220" t="str">
        <f>IF(Table1[[#This Row],[Status]]="Cancelled","Cancelled","Completed")</f>
        <v>Completed</v>
      </c>
      <c r="E220" t="s">
        <v>38</v>
      </c>
      <c r="F220" t="s">
        <v>20</v>
      </c>
      <c r="G220" t="s">
        <v>39</v>
      </c>
      <c r="H220" t="s">
        <v>449</v>
      </c>
      <c r="I220" t="s">
        <v>32</v>
      </c>
      <c r="J220" t="s">
        <v>24</v>
      </c>
      <c r="K220" t="s">
        <v>34</v>
      </c>
      <c r="L220">
        <v>1</v>
      </c>
      <c r="M220">
        <v>517</v>
      </c>
      <c r="N220" t="s">
        <v>126</v>
      </c>
      <c r="O220" t="s">
        <v>26</v>
      </c>
      <c r="P220" t="s">
        <v>27</v>
      </c>
      <c r="Q220" t="b">
        <v>0</v>
      </c>
    </row>
    <row r="221" spans="1:18" x14ac:dyDescent="0.3">
      <c r="A221" t="s">
        <v>592</v>
      </c>
      <c r="B221" s="1">
        <v>44681</v>
      </c>
      <c r="C221" t="s">
        <v>34</v>
      </c>
      <c r="D221" t="str">
        <f>IF(Table1[[#This Row],[Status]]="Cancelled","Cancelled","Completed")</f>
        <v>Completed</v>
      </c>
      <c r="E221" t="s">
        <v>38</v>
      </c>
      <c r="F221" t="s">
        <v>20</v>
      </c>
      <c r="G221" t="s">
        <v>39</v>
      </c>
      <c r="H221" t="s">
        <v>593</v>
      </c>
      <c r="I221" t="s">
        <v>23</v>
      </c>
      <c r="J221" t="s">
        <v>41</v>
      </c>
      <c r="K221" t="s">
        <v>34</v>
      </c>
      <c r="L221">
        <v>1</v>
      </c>
      <c r="M221">
        <v>591</v>
      </c>
      <c r="N221" t="s">
        <v>126</v>
      </c>
      <c r="O221" t="s">
        <v>26</v>
      </c>
      <c r="P221" t="s">
        <v>27</v>
      </c>
      <c r="Q221" t="b">
        <v>0</v>
      </c>
    </row>
    <row r="222" spans="1:18" x14ac:dyDescent="0.3">
      <c r="A222" t="s">
        <v>594</v>
      </c>
      <c r="B222" s="1">
        <v>44681</v>
      </c>
      <c r="C222" t="s">
        <v>34</v>
      </c>
      <c r="D222" t="str">
        <f>IF(Table1[[#This Row],[Status]]="Cancelled","Cancelled","Completed")</f>
        <v>Completed</v>
      </c>
      <c r="E222" t="s">
        <v>38</v>
      </c>
      <c r="F222" t="s">
        <v>20</v>
      </c>
      <c r="G222" t="s">
        <v>39</v>
      </c>
      <c r="H222" t="s">
        <v>31</v>
      </c>
      <c r="I222" t="s">
        <v>32</v>
      </c>
      <c r="J222" t="s">
        <v>33</v>
      </c>
      <c r="K222" t="s">
        <v>34</v>
      </c>
      <c r="L222">
        <v>1</v>
      </c>
      <c r="M222">
        <v>406</v>
      </c>
      <c r="N222" t="s">
        <v>595</v>
      </c>
      <c r="O222" t="s">
        <v>155</v>
      </c>
      <c r="P222" t="s">
        <v>27</v>
      </c>
      <c r="Q222" t="b">
        <v>0</v>
      </c>
    </row>
    <row r="223" spans="1:18" x14ac:dyDescent="0.3">
      <c r="A223" t="s">
        <v>596</v>
      </c>
      <c r="B223" s="1">
        <v>44681</v>
      </c>
      <c r="C223" t="s">
        <v>34</v>
      </c>
      <c r="D223" t="str">
        <f>IF(Table1[[#This Row],[Status]]="Cancelled","Cancelled","Completed")</f>
        <v>Completed</v>
      </c>
      <c r="E223" t="s">
        <v>38</v>
      </c>
      <c r="F223" t="s">
        <v>20</v>
      </c>
      <c r="G223" t="s">
        <v>39</v>
      </c>
      <c r="H223" t="s">
        <v>597</v>
      </c>
      <c r="I223" t="s">
        <v>23</v>
      </c>
      <c r="J223" t="s">
        <v>41</v>
      </c>
      <c r="K223" t="s">
        <v>34</v>
      </c>
      <c r="L223">
        <v>1</v>
      </c>
      <c r="M223">
        <v>684</v>
      </c>
      <c r="N223" t="s">
        <v>35</v>
      </c>
      <c r="O223" t="s">
        <v>36</v>
      </c>
      <c r="P223" t="s">
        <v>27</v>
      </c>
      <c r="Q223" t="b">
        <v>0</v>
      </c>
    </row>
    <row r="224" spans="1:18" x14ac:dyDescent="0.3">
      <c r="A224" t="s">
        <v>596</v>
      </c>
      <c r="B224" s="1">
        <v>44681</v>
      </c>
      <c r="C224" t="s">
        <v>34</v>
      </c>
      <c r="D224" t="str">
        <f>IF(Table1[[#This Row],[Status]]="Cancelled","Cancelled","Completed")</f>
        <v>Completed</v>
      </c>
      <c r="E224" t="s">
        <v>38</v>
      </c>
      <c r="F224" t="s">
        <v>20</v>
      </c>
      <c r="G224" t="s">
        <v>39</v>
      </c>
      <c r="H224" t="s">
        <v>598</v>
      </c>
      <c r="I224" t="s">
        <v>23</v>
      </c>
      <c r="J224" t="s">
        <v>41</v>
      </c>
      <c r="K224" t="s">
        <v>34</v>
      </c>
      <c r="L224">
        <v>1</v>
      </c>
      <c r="M224">
        <v>1115</v>
      </c>
      <c r="N224" t="s">
        <v>35</v>
      </c>
      <c r="O224" t="s">
        <v>36</v>
      </c>
      <c r="P224" t="s">
        <v>27</v>
      </c>
      <c r="Q224" t="b">
        <v>0</v>
      </c>
    </row>
    <row r="225" spans="1:18" x14ac:dyDescent="0.3">
      <c r="A225" t="s">
        <v>599</v>
      </c>
      <c r="B225" s="1">
        <v>44681</v>
      </c>
      <c r="C225" t="s">
        <v>30</v>
      </c>
      <c r="D225" t="str">
        <f>IF(Table1[[#This Row],[Status]]="Cancelled","Cancelled","Completed")</f>
        <v>Completed</v>
      </c>
      <c r="E225" t="s">
        <v>19</v>
      </c>
      <c r="F225" t="s">
        <v>20</v>
      </c>
      <c r="G225" t="s">
        <v>21</v>
      </c>
      <c r="H225" t="s">
        <v>600</v>
      </c>
      <c r="I225" t="s">
        <v>23</v>
      </c>
      <c r="J225" t="s">
        <v>46</v>
      </c>
      <c r="K225" t="s">
        <v>34</v>
      </c>
      <c r="L225">
        <v>1</v>
      </c>
      <c r="M225">
        <v>999</v>
      </c>
      <c r="N225" t="s">
        <v>35</v>
      </c>
      <c r="O225" t="s">
        <v>36</v>
      </c>
      <c r="P225" t="s">
        <v>27</v>
      </c>
      <c r="Q225" t="b">
        <v>0</v>
      </c>
      <c r="R225" t="s">
        <v>28</v>
      </c>
    </row>
    <row r="226" spans="1:18" x14ac:dyDescent="0.3">
      <c r="A226" t="s">
        <v>601</v>
      </c>
      <c r="B226" s="1">
        <v>44681</v>
      </c>
      <c r="C226" t="s">
        <v>30</v>
      </c>
      <c r="D226" t="str">
        <f>IF(Table1[[#This Row],[Status]]="Cancelled","Cancelled","Completed")</f>
        <v>Completed</v>
      </c>
      <c r="E226" t="s">
        <v>19</v>
      </c>
      <c r="F226" t="s">
        <v>20</v>
      </c>
      <c r="G226" t="s">
        <v>21</v>
      </c>
      <c r="H226" t="s">
        <v>602</v>
      </c>
      <c r="I226" t="s">
        <v>32</v>
      </c>
      <c r="J226" t="s">
        <v>105</v>
      </c>
      <c r="K226" t="s">
        <v>34</v>
      </c>
      <c r="L226">
        <v>1</v>
      </c>
      <c r="M226">
        <v>295</v>
      </c>
      <c r="N226" t="s">
        <v>35</v>
      </c>
      <c r="O226" t="s">
        <v>36</v>
      </c>
      <c r="P226" t="s">
        <v>27</v>
      </c>
      <c r="Q226" t="b">
        <v>0</v>
      </c>
      <c r="R226" t="s">
        <v>28</v>
      </c>
    </row>
    <row r="227" spans="1:18" x14ac:dyDescent="0.3">
      <c r="A227" t="s">
        <v>603</v>
      </c>
      <c r="B227" s="1">
        <v>44681</v>
      </c>
      <c r="C227" t="s">
        <v>34</v>
      </c>
      <c r="D227" t="str">
        <f>IF(Table1[[#This Row],[Status]]="Cancelled","Cancelled","Completed")</f>
        <v>Completed</v>
      </c>
      <c r="E227" t="s">
        <v>38</v>
      </c>
      <c r="F227" t="s">
        <v>20</v>
      </c>
      <c r="G227" t="s">
        <v>39</v>
      </c>
      <c r="H227" t="s">
        <v>604</v>
      </c>
      <c r="I227" t="s">
        <v>32</v>
      </c>
      <c r="J227" t="s">
        <v>41</v>
      </c>
      <c r="K227" t="s">
        <v>34</v>
      </c>
      <c r="L227">
        <v>1</v>
      </c>
      <c r="M227">
        <v>442</v>
      </c>
      <c r="N227" t="s">
        <v>605</v>
      </c>
      <c r="O227" t="s">
        <v>36</v>
      </c>
      <c r="P227" t="s">
        <v>27</v>
      </c>
      <c r="Q227" t="b">
        <v>0</v>
      </c>
    </row>
    <row r="228" spans="1:18" x14ac:dyDescent="0.3">
      <c r="A228" t="s">
        <v>606</v>
      </c>
      <c r="B228" s="1">
        <v>44681</v>
      </c>
      <c r="C228" t="s">
        <v>34</v>
      </c>
      <c r="D228" t="str">
        <f>IF(Table1[[#This Row],[Status]]="Cancelled","Cancelled","Completed")</f>
        <v>Completed</v>
      </c>
      <c r="E228" t="s">
        <v>38</v>
      </c>
      <c r="F228" t="s">
        <v>20</v>
      </c>
      <c r="G228" t="s">
        <v>39</v>
      </c>
      <c r="H228" t="s">
        <v>607</v>
      </c>
      <c r="I228" t="s">
        <v>23</v>
      </c>
      <c r="J228" t="s">
        <v>46</v>
      </c>
      <c r="K228" t="s">
        <v>34</v>
      </c>
      <c r="L228">
        <v>1</v>
      </c>
      <c r="M228">
        <v>563</v>
      </c>
      <c r="N228" t="s">
        <v>608</v>
      </c>
      <c r="O228" t="s">
        <v>114</v>
      </c>
      <c r="P228" t="s">
        <v>27</v>
      </c>
      <c r="Q228" t="b">
        <v>0</v>
      </c>
    </row>
    <row r="229" spans="1:18" x14ac:dyDescent="0.3">
      <c r="A229" t="s">
        <v>609</v>
      </c>
      <c r="B229" s="1">
        <v>44681</v>
      </c>
      <c r="C229" t="s">
        <v>34</v>
      </c>
      <c r="D229" t="str">
        <f>IF(Table1[[#This Row],[Status]]="Cancelled","Cancelled","Completed")</f>
        <v>Completed</v>
      </c>
      <c r="E229" t="s">
        <v>38</v>
      </c>
      <c r="F229" t="s">
        <v>20</v>
      </c>
      <c r="G229" t="s">
        <v>39</v>
      </c>
      <c r="H229" t="s">
        <v>610</v>
      </c>
      <c r="I229" t="s">
        <v>32</v>
      </c>
      <c r="J229" t="s">
        <v>46</v>
      </c>
      <c r="K229" t="s">
        <v>34</v>
      </c>
      <c r="L229">
        <v>1</v>
      </c>
      <c r="M229">
        <v>435</v>
      </c>
      <c r="N229" t="s">
        <v>92</v>
      </c>
      <c r="O229" t="s">
        <v>93</v>
      </c>
      <c r="P229" t="s">
        <v>27</v>
      </c>
      <c r="Q229" t="b">
        <v>0</v>
      </c>
    </row>
    <row r="230" spans="1:18" x14ac:dyDescent="0.3">
      <c r="A230" t="s">
        <v>611</v>
      </c>
      <c r="B230" s="1">
        <v>44681</v>
      </c>
      <c r="C230" t="s">
        <v>34</v>
      </c>
      <c r="D230" t="str">
        <f>IF(Table1[[#This Row],[Status]]="Cancelled","Cancelled","Completed")</f>
        <v>Completed</v>
      </c>
      <c r="E230" t="s">
        <v>38</v>
      </c>
      <c r="F230" t="s">
        <v>20</v>
      </c>
      <c r="G230" t="s">
        <v>39</v>
      </c>
      <c r="H230" t="s">
        <v>109</v>
      </c>
      <c r="I230" t="s">
        <v>23</v>
      </c>
      <c r="J230" t="s">
        <v>105</v>
      </c>
      <c r="K230" t="s">
        <v>34</v>
      </c>
      <c r="L230">
        <v>1</v>
      </c>
      <c r="M230">
        <v>563</v>
      </c>
      <c r="N230" t="s">
        <v>486</v>
      </c>
      <c r="O230" t="s">
        <v>36</v>
      </c>
      <c r="P230" t="s">
        <v>27</v>
      </c>
      <c r="Q230" t="b">
        <v>0</v>
      </c>
    </row>
    <row r="231" spans="1:18" x14ac:dyDescent="0.3">
      <c r="A231" t="s">
        <v>612</v>
      </c>
      <c r="B231" s="1">
        <v>44681</v>
      </c>
      <c r="C231" t="s">
        <v>34</v>
      </c>
      <c r="D231" t="str">
        <f>IF(Table1[[#This Row],[Status]]="Cancelled","Cancelled","Completed")</f>
        <v>Completed</v>
      </c>
      <c r="E231" t="s">
        <v>38</v>
      </c>
      <c r="F231" t="s">
        <v>20</v>
      </c>
      <c r="G231" t="s">
        <v>39</v>
      </c>
      <c r="H231" t="s">
        <v>613</v>
      </c>
      <c r="I231" t="s">
        <v>32</v>
      </c>
      <c r="J231" t="s">
        <v>72</v>
      </c>
      <c r="K231" t="s">
        <v>34</v>
      </c>
      <c r="L231">
        <v>1</v>
      </c>
      <c r="M231">
        <v>399</v>
      </c>
      <c r="N231" t="s">
        <v>548</v>
      </c>
      <c r="O231" t="s">
        <v>222</v>
      </c>
      <c r="P231" t="s">
        <v>27</v>
      </c>
      <c r="Q231" t="b">
        <v>1</v>
      </c>
    </row>
    <row r="232" spans="1:18" x14ac:dyDescent="0.3">
      <c r="A232" t="s">
        <v>614</v>
      </c>
      <c r="B232" s="1">
        <v>44681</v>
      </c>
      <c r="C232" t="s">
        <v>34</v>
      </c>
      <c r="D232" t="str">
        <f>IF(Table1[[#This Row],[Status]]="Cancelled","Cancelled","Completed")</f>
        <v>Completed</v>
      </c>
      <c r="E232" t="s">
        <v>38</v>
      </c>
      <c r="F232" t="s">
        <v>20</v>
      </c>
      <c r="G232" t="s">
        <v>39</v>
      </c>
      <c r="H232" t="s">
        <v>615</v>
      </c>
      <c r="I232" t="s">
        <v>23</v>
      </c>
      <c r="J232" t="s">
        <v>66</v>
      </c>
      <c r="K232" t="s">
        <v>34</v>
      </c>
      <c r="L232">
        <v>1</v>
      </c>
      <c r="M232">
        <v>1338</v>
      </c>
      <c r="N232" t="s">
        <v>172</v>
      </c>
      <c r="O232" t="s">
        <v>173</v>
      </c>
      <c r="P232" t="s">
        <v>27</v>
      </c>
      <c r="Q232" t="b">
        <v>0</v>
      </c>
    </row>
    <row r="233" spans="1:18" x14ac:dyDescent="0.3">
      <c r="A233" t="s">
        <v>616</v>
      </c>
      <c r="B233" s="1">
        <v>44681</v>
      </c>
      <c r="C233" t="s">
        <v>617</v>
      </c>
      <c r="D233" t="str">
        <f>IF(Table1[[#This Row],[Status]]="Cancelled","Cancelled","Completed")</f>
        <v>Completed</v>
      </c>
      <c r="E233" t="s">
        <v>19</v>
      </c>
      <c r="F233" t="s">
        <v>20</v>
      </c>
      <c r="G233" t="s">
        <v>21</v>
      </c>
      <c r="H233" t="s">
        <v>361</v>
      </c>
      <c r="I233" t="s">
        <v>23</v>
      </c>
      <c r="J233" t="s">
        <v>72</v>
      </c>
      <c r="K233" t="s">
        <v>34</v>
      </c>
      <c r="L233">
        <v>1</v>
      </c>
      <c r="M233">
        <v>1115</v>
      </c>
      <c r="N233" t="s">
        <v>618</v>
      </c>
      <c r="O233" t="s">
        <v>173</v>
      </c>
      <c r="P233" t="s">
        <v>27</v>
      </c>
      <c r="Q233" t="b">
        <v>0</v>
      </c>
      <c r="R233" t="s">
        <v>28</v>
      </c>
    </row>
    <row r="234" spans="1:18" x14ac:dyDescent="0.3">
      <c r="A234" t="s">
        <v>619</v>
      </c>
      <c r="B234" s="1">
        <v>44681</v>
      </c>
      <c r="C234" t="s">
        <v>34</v>
      </c>
      <c r="D234" t="str">
        <f>IF(Table1[[#This Row],[Status]]="Cancelled","Cancelled","Completed")</f>
        <v>Completed</v>
      </c>
      <c r="E234" t="s">
        <v>38</v>
      </c>
      <c r="F234" t="s">
        <v>20</v>
      </c>
      <c r="G234" t="s">
        <v>39</v>
      </c>
      <c r="H234" t="s">
        <v>91</v>
      </c>
      <c r="I234" t="s">
        <v>32</v>
      </c>
      <c r="J234" t="s">
        <v>41</v>
      </c>
      <c r="K234" t="s">
        <v>34</v>
      </c>
      <c r="L234">
        <v>1</v>
      </c>
      <c r="M234">
        <v>399</v>
      </c>
      <c r="N234" t="s">
        <v>35</v>
      </c>
      <c r="O234" t="s">
        <v>36</v>
      </c>
      <c r="P234" t="s">
        <v>27</v>
      </c>
      <c r="Q234" t="b">
        <v>0</v>
      </c>
    </row>
    <row r="235" spans="1:18" x14ac:dyDescent="0.3">
      <c r="A235" t="s">
        <v>620</v>
      </c>
      <c r="B235" s="1">
        <v>44681</v>
      </c>
      <c r="C235" t="s">
        <v>30</v>
      </c>
      <c r="D235" t="str">
        <f>IF(Table1[[#This Row],[Status]]="Cancelled","Cancelled","Completed")</f>
        <v>Completed</v>
      </c>
      <c r="E235" t="s">
        <v>19</v>
      </c>
      <c r="F235" t="s">
        <v>20</v>
      </c>
      <c r="G235" t="s">
        <v>21</v>
      </c>
      <c r="H235" t="s">
        <v>621</v>
      </c>
      <c r="I235" t="s">
        <v>23</v>
      </c>
      <c r="J235" t="s">
        <v>24</v>
      </c>
      <c r="K235" t="s">
        <v>34</v>
      </c>
      <c r="L235">
        <v>1</v>
      </c>
      <c r="M235">
        <v>499</v>
      </c>
      <c r="N235" t="s">
        <v>126</v>
      </c>
      <c r="O235" t="s">
        <v>26</v>
      </c>
      <c r="P235" t="s">
        <v>27</v>
      </c>
      <c r="Q235" t="b">
        <v>0</v>
      </c>
      <c r="R235" t="s">
        <v>28</v>
      </c>
    </row>
    <row r="236" spans="1:18" x14ac:dyDescent="0.3">
      <c r="A236" t="s">
        <v>622</v>
      </c>
      <c r="B236" s="1">
        <v>44681</v>
      </c>
      <c r="C236" t="s">
        <v>30</v>
      </c>
      <c r="D236" t="str">
        <f>IF(Table1[[#This Row],[Status]]="Cancelled","Cancelled","Completed")</f>
        <v>Completed</v>
      </c>
      <c r="E236" t="s">
        <v>19</v>
      </c>
      <c r="F236" t="s">
        <v>20</v>
      </c>
      <c r="G236" t="s">
        <v>21</v>
      </c>
      <c r="H236" t="s">
        <v>623</v>
      </c>
      <c r="I236" t="s">
        <v>45</v>
      </c>
      <c r="J236" t="s">
        <v>105</v>
      </c>
      <c r="K236" t="s">
        <v>34</v>
      </c>
      <c r="L236">
        <v>1</v>
      </c>
      <c r="M236">
        <v>791</v>
      </c>
      <c r="N236" t="s">
        <v>262</v>
      </c>
      <c r="O236" t="s">
        <v>263</v>
      </c>
      <c r="P236" t="s">
        <v>27</v>
      </c>
      <c r="Q236" t="b">
        <v>0</v>
      </c>
      <c r="R236" t="s">
        <v>28</v>
      </c>
    </row>
    <row r="237" spans="1:18" x14ac:dyDescent="0.3">
      <c r="A237" t="s">
        <v>624</v>
      </c>
      <c r="B237" s="1">
        <v>44681</v>
      </c>
      <c r="C237" t="s">
        <v>34</v>
      </c>
      <c r="D237" t="str">
        <f>IF(Table1[[#This Row],[Status]]="Cancelled","Cancelled","Completed")</f>
        <v>Completed</v>
      </c>
      <c r="E237" t="s">
        <v>38</v>
      </c>
      <c r="F237" t="s">
        <v>20</v>
      </c>
      <c r="G237" t="s">
        <v>39</v>
      </c>
      <c r="H237" t="s">
        <v>625</v>
      </c>
      <c r="I237" t="s">
        <v>45</v>
      </c>
      <c r="J237" t="s">
        <v>105</v>
      </c>
      <c r="K237" t="s">
        <v>34</v>
      </c>
      <c r="L237">
        <v>1</v>
      </c>
      <c r="M237">
        <v>725</v>
      </c>
      <c r="N237" t="s">
        <v>580</v>
      </c>
      <c r="O237" t="s">
        <v>283</v>
      </c>
      <c r="P237" t="s">
        <v>27</v>
      </c>
      <c r="Q237" t="b">
        <v>0</v>
      </c>
    </row>
    <row r="238" spans="1:18" x14ac:dyDescent="0.3">
      <c r="A238" t="s">
        <v>627</v>
      </c>
      <c r="B238" s="1">
        <v>44681</v>
      </c>
      <c r="C238" t="s">
        <v>18</v>
      </c>
      <c r="D238" t="str">
        <f>IF(Table1[[#This Row],[Status]]="Cancelled","Cancelled","Completed")</f>
        <v>Cancelled</v>
      </c>
      <c r="E238" t="s">
        <v>19</v>
      </c>
      <c r="F238" t="s">
        <v>20</v>
      </c>
      <c r="G238" t="s">
        <v>21</v>
      </c>
      <c r="H238" t="s">
        <v>628</v>
      </c>
      <c r="I238" t="s">
        <v>23</v>
      </c>
      <c r="J238" t="s">
        <v>105</v>
      </c>
      <c r="L238">
        <v>0</v>
      </c>
      <c r="M238">
        <v>1278.57</v>
      </c>
      <c r="N238" t="s">
        <v>629</v>
      </c>
      <c r="O238" t="s">
        <v>118</v>
      </c>
      <c r="P238" t="s">
        <v>27</v>
      </c>
      <c r="Q238" t="b">
        <v>0</v>
      </c>
      <c r="R238" t="s">
        <v>28</v>
      </c>
    </row>
    <row r="239" spans="1:18" x14ac:dyDescent="0.3">
      <c r="A239" t="s">
        <v>630</v>
      </c>
      <c r="B239" s="1">
        <v>44681</v>
      </c>
      <c r="C239" t="s">
        <v>34</v>
      </c>
      <c r="D239" t="str">
        <f>IF(Table1[[#This Row],[Status]]="Cancelled","Cancelled","Completed")</f>
        <v>Completed</v>
      </c>
      <c r="E239" t="s">
        <v>38</v>
      </c>
      <c r="F239" t="s">
        <v>20</v>
      </c>
      <c r="G239" t="s">
        <v>39</v>
      </c>
      <c r="H239" t="s">
        <v>631</v>
      </c>
      <c r="I239" t="s">
        <v>23</v>
      </c>
      <c r="J239" t="s">
        <v>41</v>
      </c>
      <c r="K239" t="s">
        <v>34</v>
      </c>
      <c r="L239">
        <v>1</v>
      </c>
      <c r="M239">
        <v>1099</v>
      </c>
      <c r="N239" t="s">
        <v>172</v>
      </c>
      <c r="O239" t="s">
        <v>173</v>
      </c>
      <c r="P239" t="s">
        <v>27</v>
      </c>
      <c r="Q239" t="b">
        <v>0</v>
      </c>
    </row>
    <row r="240" spans="1:18" x14ac:dyDescent="0.3">
      <c r="A240" t="s">
        <v>632</v>
      </c>
      <c r="B240" s="1">
        <v>44681</v>
      </c>
      <c r="C240" t="s">
        <v>30</v>
      </c>
      <c r="D240" t="str">
        <f>IF(Table1[[#This Row],[Status]]="Cancelled","Cancelled","Completed")</f>
        <v>Completed</v>
      </c>
      <c r="E240" t="s">
        <v>19</v>
      </c>
      <c r="F240" t="s">
        <v>20</v>
      </c>
      <c r="G240" t="s">
        <v>21</v>
      </c>
      <c r="H240" t="s">
        <v>633</v>
      </c>
      <c r="I240" t="s">
        <v>32</v>
      </c>
      <c r="J240" t="s">
        <v>41</v>
      </c>
      <c r="K240" t="s">
        <v>34</v>
      </c>
      <c r="L240">
        <v>1</v>
      </c>
      <c r="M240">
        <v>533</v>
      </c>
      <c r="N240" t="s">
        <v>634</v>
      </c>
      <c r="O240" t="s">
        <v>63</v>
      </c>
      <c r="P240" t="s">
        <v>27</v>
      </c>
      <c r="Q240" t="b">
        <v>0</v>
      </c>
      <c r="R240" t="s">
        <v>28</v>
      </c>
    </row>
    <row r="241" spans="1:18" x14ac:dyDescent="0.3">
      <c r="A241" t="s">
        <v>635</v>
      </c>
      <c r="B241" s="1">
        <v>44681</v>
      </c>
      <c r="C241" t="s">
        <v>34</v>
      </c>
      <c r="D241" t="str">
        <f>IF(Table1[[#This Row],[Status]]="Cancelled","Cancelled","Completed")</f>
        <v>Completed</v>
      </c>
      <c r="E241" t="s">
        <v>38</v>
      </c>
      <c r="F241" t="s">
        <v>20</v>
      </c>
      <c r="G241" t="s">
        <v>39</v>
      </c>
      <c r="H241" t="s">
        <v>636</v>
      </c>
      <c r="I241" t="s">
        <v>32</v>
      </c>
      <c r="J241" t="s">
        <v>637</v>
      </c>
      <c r="K241" t="s">
        <v>34</v>
      </c>
      <c r="L241">
        <v>1</v>
      </c>
      <c r="M241">
        <v>696</v>
      </c>
      <c r="N241" t="s">
        <v>638</v>
      </c>
      <c r="O241" t="s">
        <v>89</v>
      </c>
      <c r="P241" t="s">
        <v>27</v>
      </c>
      <c r="Q241" t="b">
        <v>0</v>
      </c>
    </row>
    <row r="242" spans="1:18" x14ac:dyDescent="0.3">
      <c r="A242" t="s">
        <v>639</v>
      </c>
      <c r="B242" s="1">
        <v>44681</v>
      </c>
      <c r="C242" t="s">
        <v>34</v>
      </c>
      <c r="D242" t="str">
        <f>IF(Table1[[#This Row],[Status]]="Cancelled","Cancelled","Completed")</f>
        <v>Completed</v>
      </c>
      <c r="E242" t="s">
        <v>38</v>
      </c>
      <c r="F242" t="s">
        <v>20</v>
      </c>
      <c r="G242" t="s">
        <v>39</v>
      </c>
      <c r="H242" t="s">
        <v>640</v>
      </c>
      <c r="I242" t="s">
        <v>32</v>
      </c>
      <c r="J242" t="s">
        <v>105</v>
      </c>
      <c r="K242" t="s">
        <v>34</v>
      </c>
      <c r="L242">
        <v>1</v>
      </c>
      <c r="M242">
        <v>363</v>
      </c>
      <c r="N242" t="s">
        <v>382</v>
      </c>
      <c r="O242" t="s">
        <v>52</v>
      </c>
      <c r="P242" t="s">
        <v>27</v>
      </c>
      <c r="Q242" t="b">
        <v>0</v>
      </c>
    </row>
    <row r="243" spans="1:18" x14ac:dyDescent="0.3">
      <c r="A243" t="s">
        <v>641</v>
      </c>
      <c r="B243" s="1">
        <v>44681</v>
      </c>
      <c r="C243" t="s">
        <v>34</v>
      </c>
      <c r="D243" t="str">
        <f>IF(Table1[[#This Row],[Status]]="Cancelled","Cancelled","Completed")</f>
        <v>Completed</v>
      </c>
      <c r="E243" t="s">
        <v>38</v>
      </c>
      <c r="F243" t="s">
        <v>20</v>
      </c>
      <c r="G243" t="s">
        <v>39</v>
      </c>
      <c r="H243" t="s">
        <v>642</v>
      </c>
      <c r="I243" t="s">
        <v>23</v>
      </c>
      <c r="J243" t="s">
        <v>46</v>
      </c>
      <c r="K243" t="s">
        <v>34</v>
      </c>
      <c r="L243">
        <v>1</v>
      </c>
      <c r="M243">
        <v>631</v>
      </c>
      <c r="N243" t="s">
        <v>552</v>
      </c>
      <c r="O243" t="s">
        <v>142</v>
      </c>
      <c r="P243" t="s">
        <v>27</v>
      </c>
      <c r="Q243" t="b">
        <v>0</v>
      </c>
    </row>
    <row r="244" spans="1:18" x14ac:dyDescent="0.3">
      <c r="A244" t="s">
        <v>643</v>
      </c>
      <c r="B244" s="1">
        <v>44681</v>
      </c>
      <c r="C244" t="s">
        <v>34</v>
      </c>
      <c r="D244" t="str">
        <f>IF(Table1[[#This Row],[Status]]="Cancelled","Cancelled","Completed")</f>
        <v>Completed</v>
      </c>
      <c r="E244" t="s">
        <v>38</v>
      </c>
      <c r="F244" t="s">
        <v>20</v>
      </c>
      <c r="G244" t="s">
        <v>39</v>
      </c>
      <c r="H244" t="s">
        <v>644</v>
      </c>
      <c r="I244" t="s">
        <v>23</v>
      </c>
      <c r="J244" t="s">
        <v>33</v>
      </c>
      <c r="K244" t="s">
        <v>34</v>
      </c>
      <c r="L244">
        <v>1</v>
      </c>
      <c r="M244">
        <v>1115</v>
      </c>
      <c r="N244" t="s">
        <v>645</v>
      </c>
      <c r="O244" t="s">
        <v>283</v>
      </c>
      <c r="P244" t="s">
        <v>27</v>
      </c>
      <c r="Q244" t="b">
        <v>0</v>
      </c>
    </row>
    <row r="245" spans="1:18" x14ac:dyDescent="0.3">
      <c r="A245" t="s">
        <v>643</v>
      </c>
      <c r="B245" s="1">
        <v>44681</v>
      </c>
      <c r="C245" t="s">
        <v>34</v>
      </c>
      <c r="D245" t="str">
        <f>IF(Table1[[#This Row],[Status]]="Cancelled","Cancelled","Completed")</f>
        <v>Completed</v>
      </c>
      <c r="E245" t="s">
        <v>38</v>
      </c>
      <c r="F245" t="s">
        <v>20</v>
      </c>
      <c r="G245" t="s">
        <v>39</v>
      </c>
      <c r="H245" t="s">
        <v>646</v>
      </c>
      <c r="I245" t="s">
        <v>23</v>
      </c>
      <c r="J245" t="s">
        <v>33</v>
      </c>
      <c r="K245" t="s">
        <v>34</v>
      </c>
      <c r="L245">
        <v>1</v>
      </c>
      <c r="M245">
        <v>968</v>
      </c>
      <c r="N245" t="s">
        <v>645</v>
      </c>
      <c r="O245" t="s">
        <v>283</v>
      </c>
      <c r="P245" t="s">
        <v>27</v>
      </c>
      <c r="Q245" t="b">
        <v>0</v>
      </c>
    </row>
    <row r="246" spans="1:18" x14ac:dyDescent="0.3">
      <c r="A246" t="s">
        <v>647</v>
      </c>
      <c r="B246" s="1">
        <v>44681</v>
      </c>
      <c r="C246" t="s">
        <v>34</v>
      </c>
      <c r="D246" t="str">
        <f>IF(Table1[[#This Row],[Status]]="Cancelled","Cancelled","Completed")</f>
        <v>Completed</v>
      </c>
      <c r="E246" t="s">
        <v>38</v>
      </c>
      <c r="F246" t="s">
        <v>20</v>
      </c>
      <c r="G246" t="s">
        <v>39</v>
      </c>
      <c r="H246" t="s">
        <v>648</v>
      </c>
      <c r="I246" t="s">
        <v>32</v>
      </c>
      <c r="J246" t="s">
        <v>66</v>
      </c>
      <c r="K246" t="s">
        <v>34</v>
      </c>
      <c r="L246">
        <v>1</v>
      </c>
      <c r="M246">
        <v>486</v>
      </c>
      <c r="N246" t="s">
        <v>215</v>
      </c>
      <c r="O246" t="s">
        <v>26</v>
      </c>
      <c r="P246" t="s">
        <v>27</v>
      </c>
      <c r="Q246" t="b">
        <v>0</v>
      </c>
    </row>
    <row r="247" spans="1:18" x14ac:dyDescent="0.3">
      <c r="A247" t="s">
        <v>647</v>
      </c>
      <c r="B247" s="1">
        <v>44681</v>
      </c>
      <c r="C247" t="s">
        <v>34</v>
      </c>
      <c r="D247" t="str">
        <f>IF(Table1[[#This Row],[Status]]="Cancelled","Cancelled","Completed")</f>
        <v>Completed</v>
      </c>
      <c r="E247" t="s">
        <v>38</v>
      </c>
      <c r="F247" t="s">
        <v>20</v>
      </c>
      <c r="G247" t="s">
        <v>39</v>
      </c>
      <c r="H247" t="s">
        <v>649</v>
      </c>
      <c r="I247" t="s">
        <v>23</v>
      </c>
      <c r="J247" t="s">
        <v>66</v>
      </c>
      <c r="K247" t="s">
        <v>34</v>
      </c>
      <c r="L247">
        <v>1</v>
      </c>
      <c r="M247">
        <v>597</v>
      </c>
      <c r="N247" t="s">
        <v>215</v>
      </c>
      <c r="O247" t="s">
        <v>26</v>
      </c>
      <c r="P247" t="s">
        <v>27</v>
      </c>
      <c r="Q247" t="b">
        <v>0</v>
      </c>
    </row>
    <row r="248" spans="1:18" x14ac:dyDescent="0.3">
      <c r="A248" t="s">
        <v>650</v>
      </c>
      <c r="B248" s="1">
        <v>44681</v>
      </c>
      <c r="C248" t="s">
        <v>30</v>
      </c>
      <c r="D248" t="str">
        <f>IF(Table1[[#This Row],[Status]]="Cancelled","Cancelled","Completed")</f>
        <v>Completed</v>
      </c>
      <c r="E248" t="s">
        <v>19</v>
      </c>
      <c r="F248" t="s">
        <v>20</v>
      </c>
      <c r="G248" t="s">
        <v>21</v>
      </c>
      <c r="H248" t="s">
        <v>651</v>
      </c>
      <c r="I248" t="s">
        <v>23</v>
      </c>
      <c r="J248" t="s">
        <v>33</v>
      </c>
      <c r="K248" t="s">
        <v>34</v>
      </c>
      <c r="L248">
        <v>1</v>
      </c>
      <c r="M248">
        <v>563</v>
      </c>
      <c r="N248" t="s">
        <v>215</v>
      </c>
      <c r="O248" t="s">
        <v>26</v>
      </c>
      <c r="P248" t="s">
        <v>27</v>
      </c>
      <c r="Q248" t="b">
        <v>0</v>
      </c>
      <c r="R248" t="s">
        <v>28</v>
      </c>
    </row>
    <row r="249" spans="1:18" x14ac:dyDescent="0.3">
      <c r="A249" t="s">
        <v>652</v>
      </c>
      <c r="B249" s="1">
        <v>44681</v>
      </c>
      <c r="C249" t="s">
        <v>34</v>
      </c>
      <c r="D249" t="str">
        <f>IF(Table1[[#This Row],[Status]]="Cancelled","Cancelled","Completed")</f>
        <v>Completed</v>
      </c>
      <c r="E249" t="s">
        <v>38</v>
      </c>
      <c r="F249" t="s">
        <v>20</v>
      </c>
      <c r="G249" t="s">
        <v>39</v>
      </c>
      <c r="H249" t="s">
        <v>485</v>
      </c>
      <c r="I249" t="s">
        <v>23</v>
      </c>
      <c r="J249" t="s">
        <v>46</v>
      </c>
      <c r="K249" t="s">
        <v>34</v>
      </c>
      <c r="L249">
        <v>1</v>
      </c>
      <c r="M249">
        <v>597</v>
      </c>
      <c r="N249" t="s">
        <v>51</v>
      </c>
      <c r="O249" t="s">
        <v>52</v>
      </c>
      <c r="P249" t="s">
        <v>27</v>
      </c>
      <c r="Q249" t="b">
        <v>0</v>
      </c>
    </row>
    <row r="250" spans="1:18" x14ac:dyDescent="0.3">
      <c r="A250" t="s">
        <v>653</v>
      </c>
      <c r="B250" s="1">
        <v>44681</v>
      </c>
      <c r="C250" t="s">
        <v>30</v>
      </c>
      <c r="D250" t="str">
        <f>IF(Table1[[#This Row],[Status]]="Cancelled","Cancelled","Completed")</f>
        <v>Completed</v>
      </c>
      <c r="E250" t="s">
        <v>19</v>
      </c>
      <c r="F250" t="s">
        <v>20</v>
      </c>
      <c r="G250" t="s">
        <v>21</v>
      </c>
      <c r="H250" t="s">
        <v>95</v>
      </c>
      <c r="I250" t="s">
        <v>32</v>
      </c>
      <c r="J250" t="s">
        <v>66</v>
      </c>
      <c r="K250" t="s">
        <v>34</v>
      </c>
      <c r="L250">
        <v>1</v>
      </c>
      <c r="M250">
        <v>458</v>
      </c>
      <c r="N250" t="s">
        <v>654</v>
      </c>
      <c r="O250" t="s">
        <v>173</v>
      </c>
      <c r="P250" t="s">
        <v>27</v>
      </c>
      <c r="Q250" t="b">
        <v>0</v>
      </c>
      <c r="R250" t="s">
        <v>28</v>
      </c>
    </row>
    <row r="251" spans="1:18" x14ac:dyDescent="0.3">
      <c r="A251" t="s">
        <v>655</v>
      </c>
      <c r="B251" s="1">
        <v>44681</v>
      </c>
      <c r="C251" t="s">
        <v>34</v>
      </c>
      <c r="D251" t="str">
        <f>IF(Table1[[#This Row],[Status]]="Cancelled","Cancelled","Completed")</f>
        <v>Completed</v>
      </c>
      <c r="E251" t="s">
        <v>38</v>
      </c>
      <c r="F251" t="s">
        <v>20</v>
      </c>
      <c r="G251" t="s">
        <v>39</v>
      </c>
      <c r="H251" t="s">
        <v>656</v>
      </c>
      <c r="I251" t="s">
        <v>23</v>
      </c>
      <c r="J251" t="s">
        <v>24</v>
      </c>
      <c r="K251" t="s">
        <v>34</v>
      </c>
      <c r="L251">
        <v>1</v>
      </c>
      <c r="M251">
        <v>1065</v>
      </c>
      <c r="N251" t="s">
        <v>657</v>
      </c>
      <c r="O251" t="s">
        <v>263</v>
      </c>
      <c r="P251" t="s">
        <v>27</v>
      </c>
      <c r="Q251" t="b">
        <v>0</v>
      </c>
    </row>
    <row r="252" spans="1:18" x14ac:dyDescent="0.3">
      <c r="A252" t="s">
        <v>658</v>
      </c>
      <c r="B252" s="1">
        <v>44681</v>
      </c>
      <c r="C252" t="s">
        <v>34</v>
      </c>
      <c r="D252" t="str">
        <f>IF(Table1[[#This Row],[Status]]="Cancelled","Cancelled","Completed")</f>
        <v>Completed</v>
      </c>
      <c r="E252" t="s">
        <v>38</v>
      </c>
      <c r="F252" t="s">
        <v>20</v>
      </c>
      <c r="G252" t="s">
        <v>39</v>
      </c>
      <c r="H252" t="s">
        <v>659</v>
      </c>
      <c r="I252" t="s">
        <v>23</v>
      </c>
      <c r="J252" t="s">
        <v>66</v>
      </c>
      <c r="K252" t="s">
        <v>34</v>
      </c>
      <c r="L252">
        <v>2</v>
      </c>
      <c r="M252">
        <v>2130</v>
      </c>
      <c r="N252" t="s">
        <v>25</v>
      </c>
      <c r="O252" t="s">
        <v>26</v>
      </c>
      <c r="P252" t="s">
        <v>27</v>
      </c>
      <c r="Q252" t="b">
        <v>0</v>
      </c>
    </row>
    <row r="253" spans="1:18" x14ac:dyDescent="0.3">
      <c r="A253" t="s">
        <v>660</v>
      </c>
      <c r="B253" s="1">
        <v>44681</v>
      </c>
      <c r="C253" t="s">
        <v>30</v>
      </c>
      <c r="D253" t="str">
        <f>IF(Table1[[#This Row],[Status]]="Cancelled","Cancelled","Completed")</f>
        <v>Completed</v>
      </c>
      <c r="E253" t="s">
        <v>19</v>
      </c>
      <c r="F253" t="s">
        <v>20</v>
      </c>
      <c r="G253" t="s">
        <v>21</v>
      </c>
      <c r="H253" t="s">
        <v>661</v>
      </c>
      <c r="I253" t="s">
        <v>23</v>
      </c>
      <c r="J253" t="s">
        <v>66</v>
      </c>
      <c r="K253" t="s">
        <v>34</v>
      </c>
      <c r="L253">
        <v>1</v>
      </c>
      <c r="M253">
        <v>1099</v>
      </c>
      <c r="N253" t="s">
        <v>25</v>
      </c>
      <c r="O253" t="s">
        <v>26</v>
      </c>
      <c r="P253" t="s">
        <v>27</v>
      </c>
      <c r="Q253" t="b">
        <v>0</v>
      </c>
      <c r="R253" t="s">
        <v>28</v>
      </c>
    </row>
    <row r="254" spans="1:18" x14ac:dyDescent="0.3">
      <c r="A254" t="s">
        <v>662</v>
      </c>
      <c r="B254" s="1">
        <v>44681</v>
      </c>
      <c r="C254" t="s">
        <v>34</v>
      </c>
      <c r="D254" t="str">
        <f>IF(Table1[[#This Row],[Status]]="Cancelled","Cancelled","Completed")</f>
        <v>Completed</v>
      </c>
      <c r="E254" t="s">
        <v>38</v>
      </c>
      <c r="F254" t="s">
        <v>20</v>
      </c>
      <c r="G254" t="s">
        <v>39</v>
      </c>
      <c r="H254" t="s">
        <v>663</v>
      </c>
      <c r="I254" t="s">
        <v>45</v>
      </c>
      <c r="J254" t="s">
        <v>24</v>
      </c>
      <c r="K254" t="s">
        <v>34</v>
      </c>
      <c r="L254">
        <v>1</v>
      </c>
      <c r="M254">
        <v>721</v>
      </c>
      <c r="N254" t="s">
        <v>664</v>
      </c>
      <c r="O254" t="s">
        <v>163</v>
      </c>
      <c r="P254" t="s">
        <v>27</v>
      </c>
      <c r="Q254" t="b">
        <v>0</v>
      </c>
    </row>
    <row r="255" spans="1:18" x14ac:dyDescent="0.3">
      <c r="A255" t="s">
        <v>665</v>
      </c>
      <c r="B255" s="1">
        <v>44681</v>
      </c>
      <c r="C255" t="s">
        <v>34</v>
      </c>
      <c r="D255" t="str">
        <f>IF(Table1[[#This Row],[Status]]="Cancelled","Cancelled","Completed")</f>
        <v>Completed</v>
      </c>
      <c r="E255" t="s">
        <v>38</v>
      </c>
      <c r="F255" t="s">
        <v>20</v>
      </c>
      <c r="G255" t="s">
        <v>39</v>
      </c>
      <c r="H255" t="s">
        <v>666</v>
      </c>
      <c r="I255" t="s">
        <v>23</v>
      </c>
      <c r="J255" t="s">
        <v>41</v>
      </c>
      <c r="K255" t="s">
        <v>34</v>
      </c>
      <c r="L255">
        <v>1</v>
      </c>
      <c r="M255">
        <v>968</v>
      </c>
      <c r="N255" t="s">
        <v>667</v>
      </c>
      <c r="O255" t="s">
        <v>56</v>
      </c>
      <c r="P255" t="s">
        <v>27</v>
      </c>
      <c r="Q255" t="b">
        <v>0</v>
      </c>
    </row>
    <row r="256" spans="1:18" x14ac:dyDescent="0.3">
      <c r="A256" t="s">
        <v>668</v>
      </c>
      <c r="B256" s="1">
        <v>44681</v>
      </c>
      <c r="C256" t="s">
        <v>34</v>
      </c>
      <c r="D256" t="str">
        <f>IF(Table1[[#This Row],[Status]]="Cancelled","Cancelled","Completed")</f>
        <v>Completed</v>
      </c>
      <c r="E256" t="s">
        <v>38</v>
      </c>
      <c r="F256" t="s">
        <v>20</v>
      </c>
      <c r="G256" t="s">
        <v>39</v>
      </c>
      <c r="H256" t="s">
        <v>669</v>
      </c>
      <c r="I256" t="s">
        <v>23</v>
      </c>
      <c r="J256" t="s">
        <v>66</v>
      </c>
      <c r="K256" t="s">
        <v>34</v>
      </c>
      <c r="L256">
        <v>1</v>
      </c>
      <c r="M256">
        <v>563</v>
      </c>
      <c r="N256" t="s">
        <v>135</v>
      </c>
      <c r="O256" t="s">
        <v>56</v>
      </c>
      <c r="P256" t="s">
        <v>27</v>
      </c>
      <c r="Q256" t="b">
        <v>0</v>
      </c>
    </row>
    <row r="257" spans="1:18" x14ac:dyDescent="0.3">
      <c r="A257" t="s">
        <v>670</v>
      </c>
      <c r="B257" s="1">
        <v>44681</v>
      </c>
      <c r="C257" t="s">
        <v>18</v>
      </c>
      <c r="D257" t="str">
        <f>IF(Table1[[#This Row],[Status]]="Cancelled","Cancelled","Completed")</f>
        <v>Cancelled</v>
      </c>
      <c r="E257" t="s">
        <v>19</v>
      </c>
      <c r="F257" t="s">
        <v>20</v>
      </c>
      <c r="G257" t="s">
        <v>21</v>
      </c>
      <c r="H257" t="s">
        <v>671</v>
      </c>
      <c r="I257" t="s">
        <v>23</v>
      </c>
      <c r="J257" t="s">
        <v>24</v>
      </c>
      <c r="L257">
        <v>0</v>
      </c>
      <c r="M257">
        <v>995.54</v>
      </c>
      <c r="N257" t="s">
        <v>35</v>
      </c>
      <c r="O257" t="s">
        <v>36</v>
      </c>
      <c r="P257" t="s">
        <v>27</v>
      </c>
      <c r="Q257" t="b">
        <v>0</v>
      </c>
      <c r="R257" t="s">
        <v>28</v>
      </c>
    </row>
    <row r="258" spans="1:18" x14ac:dyDescent="0.3">
      <c r="A258" t="s">
        <v>672</v>
      </c>
      <c r="B258" s="1">
        <v>44681</v>
      </c>
      <c r="C258" t="s">
        <v>34</v>
      </c>
      <c r="D258" t="str">
        <f>IF(Table1[[#This Row],[Status]]="Cancelled","Cancelled","Completed")</f>
        <v>Completed</v>
      </c>
      <c r="E258" t="s">
        <v>38</v>
      </c>
      <c r="F258" t="s">
        <v>20</v>
      </c>
      <c r="G258" t="s">
        <v>39</v>
      </c>
      <c r="H258" t="s">
        <v>673</v>
      </c>
      <c r="I258" t="s">
        <v>23</v>
      </c>
      <c r="J258" t="s">
        <v>24</v>
      </c>
      <c r="K258" t="s">
        <v>34</v>
      </c>
      <c r="L258">
        <v>1</v>
      </c>
      <c r="M258">
        <v>682</v>
      </c>
      <c r="N258" t="s">
        <v>55</v>
      </c>
      <c r="O258" t="s">
        <v>56</v>
      </c>
      <c r="P258" t="s">
        <v>27</v>
      </c>
      <c r="Q258" t="b">
        <v>0</v>
      </c>
    </row>
    <row r="259" spans="1:18" x14ac:dyDescent="0.3">
      <c r="A259" t="s">
        <v>674</v>
      </c>
      <c r="B259" s="1">
        <v>44681</v>
      </c>
      <c r="C259" t="s">
        <v>34</v>
      </c>
      <c r="D259" t="str">
        <f>IF(Table1[[#This Row],[Status]]="Cancelled","Cancelled","Completed")</f>
        <v>Completed</v>
      </c>
      <c r="E259" t="s">
        <v>38</v>
      </c>
      <c r="F259" t="s">
        <v>20</v>
      </c>
      <c r="G259" t="s">
        <v>39</v>
      </c>
      <c r="H259" t="s">
        <v>91</v>
      </c>
      <c r="I259" t="s">
        <v>32</v>
      </c>
      <c r="J259" t="s">
        <v>41</v>
      </c>
      <c r="K259" t="s">
        <v>34</v>
      </c>
      <c r="L259">
        <v>1</v>
      </c>
      <c r="M259">
        <v>399</v>
      </c>
      <c r="N259" t="s">
        <v>675</v>
      </c>
      <c r="O259" t="s">
        <v>372</v>
      </c>
      <c r="P259" t="s">
        <v>27</v>
      </c>
      <c r="Q259" t="b">
        <v>0</v>
      </c>
    </row>
    <row r="260" spans="1:18" x14ac:dyDescent="0.3">
      <c r="A260" t="s">
        <v>676</v>
      </c>
      <c r="B260" s="1">
        <v>44681</v>
      </c>
      <c r="C260" t="s">
        <v>34</v>
      </c>
      <c r="D260" t="str">
        <f>IF(Table1[[#This Row],[Status]]="Cancelled","Cancelled","Completed")</f>
        <v>Completed</v>
      </c>
      <c r="E260" t="s">
        <v>38</v>
      </c>
      <c r="F260" t="s">
        <v>20</v>
      </c>
      <c r="G260" t="s">
        <v>39</v>
      </c>
      <c r="H260" t="s">
        <v>104</v>
      </c>
      <c r="I260" t="s">
        <v>23</v>
      </c>
      <c r="J260" t="s">
        <v>105</v>
      </c>
      <c r="K260" t="s">
        <v>34</v>
      </c>
      <c r="L260">
        <v>1</v>
      </c>
      <c r="M260">
        <v>626</v>
      </c>
      <c r="N260" t="s">
        <v>51</v>
      </c>
      <c r="O260" t="s">
        <v>52</v>
      </c>
      <c r="P260" t="s">
        <v>27</v>
      </c>
      <c r="Q260" t="b">
        <v>0</v>
      </c>
    </row>
    <row r="261" spans="1:18" x14ac:dyDescent="0.3">
      <c r="A261" t="s">
        <v>677</v>
      </c>
      <c r="B261" s="1">
        <v>44681</v>
      </c>
      <c r="C261" t="s">
        <v>34</v>
      </c>
      <c r="D261" t="str">
        <f>IF(Table1[[#This Row],[Status]]="Cancelled","Cancelled","Completed")</f>
        <v>Completed</v>
      </c>
      <c r="E261" t="s">
        <v>38</v>
      </c>
      <c r="F261" t="s">
        <v>20</v>
      </c>
      <c r="G261" t="s">
        <v>39</v>
      </c>
      <c r="H261" t="s">
        <v>678</v>
      </c>
      <c r="I261" t="s">
        <v>23</v>
      </c>
      <c r="J261" t="s">
        <v>105</v>
      </c>
      <c r="K261" t="s">
        <v>34</v>
      </c>
      <c r="L261">
        <v>1</v>
      </c>
      <c r="M261">
        <v>1140</v>
      </c>
      <c r="N261" t="s">
        <v>679</v>
      </c>
      <c r="O261" t="s">
        <v>63</v>
      </c>
      <c r="P261" t="s">
        <v>27</v>
      </c>
      <c r="Q261" t="b">
        <v>0</v>
      </c>
    </row>
    <row r="262" spans="1:18" x14ac:dyDescent="0.3">
      <c r="A262" t="s">
        <v>680</v>
      </c>
      <c r="B262" s="1">
        <v>44681</v>
      </c>
      <c r="C262" t="s">
        <v>34</v>
      </c>
      <c r="D262" t="str">
        <f>IF(Table1[[#This Row],[Status]]="Cancelled","Cancelled","Completed")</f>
        <v>Completed</v>
      </c>
      <c r="E262" t="s">
        <v>38</v>
      </c>
      <c r="F262" t="s">
        <v>20</v>
      </c>
      <c r="G262" t="s">
        <v>39</v>
      </c>
      <c r="H262" t="s">
        <v>681</v>
      </c>
      <c r="I262" t="s">
        <v>32</v>
      </c>
      <c r="J262" t="s">
        <v>105</v>
      </c>
      <c r="K262" t="s">
        <v>34</v>
      </c>
      <c r="L262">
        <v>1</v>
      </c>
      <c r="M262">
        <v>486</v>
      </c>
      <c r="N262" t="s">
        <v>682</v>
      </c>
      <c r="O262" t="s">
        <v>293</v>
      </c>
      <c r="P262" t="s">
        <v>27</v>
      </c>
      <c r="Q262" t="b">
        <v>0</v>
      </c>
    </row>
    <row r="263" spans="1:18" x14ac:dyDescent="0.3">
      <c r="A263" t="s">
        <v>683</v>
      </c>
      <c r="B263" s="1">
        <v>44681</v>
      </c>
      <c r="C263" t="s">
        <v>34</v>
      </c>
      <c r="D263" t="str">
        <f>IF(Table1[[#This Row],[Status]]="Cancelled","Cancelled","Completed")</f>
        <v>Completed</v>
      </c>
      <c r="E263" t="s">
        <v>38</v>
      </c>
      <c r="F263" t="s">
        <v>20</v>
      </c>
      <c r="G263" t="s">
        <v>39</v>
      </c>
      <c r="H263" t="s">
        <v>684</v>
      </c>
      <c r="I263" t="s">
        <v>23</v>
      </c>
      <c r="J263" t="s">
        <v>72</v>
      </c>
      <c r="K263" t="s">
        <v>34</v>
      </c>
      <c r="L263">
        <v>1</v>
      </c>
      <c r="M263">
        <v>597</v>
      </c>
      <c r="N263" t="s">
        <v>35</v>
      </c>
      <c r="O263" t="s">
        <v>36</v>
      </c>
      <c r="P263" t="s">
        <v>27</v>
      </c>
      <c r="Q263" t="b">
        <v>0</v>
      </c>
    </row>
    <row r="264" spans="1:18" x14ac:dyDescent="0.3">
      <c r="A264" t="s">
        <v>685</v>
      </c>
      <c r="B264" s="1">
        <v>44681</v>
      </c>
      <c r="C264" t="s">
        <v>34</v>
      </c>
      <c r="D264" t="str">
        <f>IF(Table1[[#This Row],[Status]]="Cancelled","Cancelled","Completed")</f>
        <v>Completed</v>
      </c>
      <c r="E264" t="s">
        <v>38</v>
      </c>
      <c r="F264" t="s">
        <v>20</v>
      </c>
      <c r="G264" t="s">
        <v>39</v>
      </c>
      <c r="H264" t="s">
        <v>686</v>
      </c>
      <c r="I264" t="s">
        <v>32</v>
      </c>
      <c r="J264" t="s">
        <v>41</v>
      </c>
      <c r="K264" t="s">
        <v>34</v>
      </c>
      <c r="L264">
        <v>1</v>
      </c>
      <c r="M264">
        <v>399</v>
      </c>
      <c r="N264" t="s">
        <v>687</v>
      </c>
      <c r="O264" t="s">
        <v>36</v>
      </c>
      <c r="P264" t="s">
        <v>27</v>
      </c>
      <c r="Q264" t="b">
        <v>0</v>
      </c>
    </row>
    <row r="265" spans="1:18" x14ac:dyDescent="0.3">
      <c r="A265" t="s">
        <v>688</v>
      </c>
      <c r="B265" s="1">
        <v>44681</v>
      </c>
      <c r="C265" t="s">
        <v>34</v>
      </c>
      <c r="D265" t="str">
        <f>IF(Table1[[#This Row],[Status]]="Cancelled","Cancelled","Completed")</f>
        <v>Completed</v>
      </c>
      <c r="E265" t="s">
        <v>38</v>
      </c>
      <c r="F265" t="s">
        <v>20</v>
      </c>
      <c r="G265" t="s">
        <v>39</v>
      </c>
      <c r="H265" t="s">
        <v>689</v>
      </c>
      <c r="I265" t="s">
        <v>23</v>
      </c>
      <c r="J265" t="s">
        <v>105</v>
      </c>
      <c r="K265" t="s">
        <v>34</v>
      </c>
      <c r="L265">
        <v>1</v>
      </c>
      <c r="M265">
        <v>660</v>
      </c>
      <c r="N265" t="s">
        <v>690</v>
      </c>
      <c r="O265" t="s">
        <v>85</v>
      </c>
      <c r="P265" t="s">
        <v>27</v>
      </c>
      <c r="Q265" t="b">
        <v>0</v>
      </c>
    </row>
    <row r="266" spans="1:18" x14ac:dyDescent="0.3">
      <c r="A266" t="s">
        <v>691</v>
      </c>
      <c r="B266" s="1">
        <v>44681</v>
      </c>
      <c r="C266" t="s">
        <v>34</v>
      </c>
      <c r="D266" t="str">
        <f>IF(Table1[[#This Row],[Status]]="Cancelled","Cancelled","Completed")</f>
        <v>Completed</v>
      </c>
      <c r="E266" t="s">
        <v>38</v>
      </c>
      <c r="F266" t="s">
        <v>20</v>
      </c>
      <c r="G266" t="s">
        <v>39</v>
      </c>
      <c r="H266" t="s">
        <v>692</v>
      </c>
      <c r="I266" t="s">
        <v>32</v>
      </c>
      <c r="J266" t="s">
        <v>41</v>
      </c>
      <c r="K266" t="s">
        <v>34</v>
      </c>
      <c r="L266">
        <v>1</v>
      </c>
      <c r="M266">
        <v>459</v>
      </c>
      <c r="N266" t="s">
        <v>62</v>
      </c>
      <c r="O266" t="s">
        <v>63</v>
      </c>
      <c r="P266" t="s">
        <v>27</v>
      </c>
      <c r="Q266" t="b">
        <v>0</v>
      </c>
    </row>
    <row r="267" spans="1:18" x14ac:dyDescent="0.3">
      <c r="A267" t="s">
        <v>693</v>
      </c>
      <c r="B267" s="1">
        <v>44681</v>
      </c>
      <c r="C267" t="s">
        <v>34</v>
      </c>
      <c r="D267" t="str">
        <f>IF(Table1[[#This Row],[Status]]="Cancelled","Cancelled","Completed")</f>
        <v>Completed</v>
      </c>
      <c r="E267" t="s">
        <v>38</v>
      </c>
      <c r="F267" t="s">
        <v>20</v>
      </c>
      <c r="G267" t="s">
        <v>39</v>
      </c>
      <c r="H267" t="s">
        <v>694</v>
      </c>
      <c r="I267" t="s">
        <v>23</v>
      </c>
      <c r="J267" t="s">
        <v>72</v>
      </c>
      <c r="K267" t="s">
        <v>34</v>
      </c>
      <c r="L267">
        <v>1</v>
      </c>
      <c r="M267">
        <v>631</v>
      </c>
      <c r="N267" t="s">
        <v>92</v>
      </c>
      <c r="O267" t="s">
        <v>93</v>
      </c>
      <c r="P267" t="s">
        <v>27</v>
      </c>
      <c r="Q267" t="b">
        <v>0</v>
      </c>
    </row>
    <row r="268" spans="1:18" x14ac:dyDescent="0.3">
      <c r="A268" t="s">
        <v>695</v>
      </c>
      <c r="B268" s="1">
        <v>44681</v>
      </c>
      <c r="C268" t="s">
        <v>30</v>
      </c>
      <c r="D268" t="str">
        <f>IF(Table1[[#This Row],[Status]]="Cancelled","Cancelled","Completed")</f>
        <v>Completed</v>
      </c>
      <c r="E268" t="s">
        <v>19</v>
      </c>
      <c r="F268" t="s">
        <v>20</v>
      </c>
      <c r="G268" t="s">
        <v>21</v>
      </c>
      <c r="H268" t="s">
        <v>626</v>
      </c>
      <c r="I268" t="s">
        <v>32</v>
      </c>
      <c r="J268" t="s">
        <v>105</v>
      </c>
      <c r="K268" t="s">
        <v>34</v>
      </c>
      <c r="L268">
        <v>1</v>
      </c>
      <c r="M268">
        <v>459</v>
      </c>
      <c r="N268" t="s">
        <v>135</v>
      </c>
      <c r="O268" t="s">
        <v>56</v>
      </c>
      <c r="P268" t="s">
        <v>27</v>
      </c>
      <c r="Q268" t="b">
        <v>0</v>
      </c>
      <c r="R268" t="s">
        <v>28</v>
      </c>
    </row>
    <row r="269" spans="1:18" x14ac:dyDescent="0.3">
      <c r="A269" t="s">
        <v>696</v>
      </c>
      <c r="B269" s="1">
        <v>44681</v>
      </c>
      <c r="C269" t="s">
        <v>18</v>
      </c>
      <c r="D269" t="str">
        <f>IF(Table1[[#This Row],[Status]]="Cancelled","Cancelled","Completed")</f>
        <v>Cancelled</v>
      </c>
      <c r="E269" t="s">
        <v>38</v>
      </c>
      <c r="F269" t="s">
        <v>20</v>
      </c>
      <c r="G269" t="s">
        <v>39</v>
      </c>
      <c r="H269" t="s">
        <v>684</v>
      </c>
      <c r="I269" t="s">
        <v>23</v>
      </c>
      <c r="J269" t="s">
        <v>72</v>
      </c>
      <c r="K269" t="s">
        <v>335</v>
      </c>
      <c r="L269">
        <v>1</v>
      </c>
      <c r="M269">
        <v>597</v>
      </c>
      <c r="N269" t="s">
        <v>35</v>
      </c>
      <c r="O269" t="s">
        <v>36</v>
      </c>
      <c r="P269" t="s">
        <v>27</v>
      </c>
      <c r="Q269" t="b">
        <v>0</v>
      </c>
    </row>
    <row r="270" spans="1:18" x14ac:dyDescent="0.3">
      <c r="A270" t="s">
        <v>697</v>
      </c>
      <c r="B270" s="1">
        <v>44681</v>
      </c>
      <c r="C270" t="s">
        <v>34</v>
      </c>
      <c r="D270" t="str">
        <f>IF(Table1[[#This Row],[Status]]="Cancelled","Cancelled","Completed")</f>
        <v>Completed</v>
      </c>
      <c r="E270" t="s">
        <v>38</v>
      </c>
      <c r="F270" t="s">
        <v>20</v>
      </c>
      <c r="G270" t="s">
        <v>21</v>
      </c>
      <c r="H270" t="s">
        <v>297</v>
      </c>
      <c r="I270" t="s">
        <v>23</v>
      </c>
      <c r="J270" t="s">
        <v>24</v>
      </c>
      <c r="K270" t="s">
        <v>34</v>
      </c>
      <c r="L270">
        <v>1</v>
      </c>
      <c r="M270">
        <v>852</v>
      </c>
      <c r="N270" t="s">
        <v>35</v>
      </c>
      <c r="O270" t="s">
        <v>36</v>
      </c>
      <c r="P270" t="s">
        <v>27</v>
      </c>
      <c r="Q270" t="b">
        <v>0</v>
      </c>
    </row>
    <row r="271" spans="1:18" x14ac:dyDescent="0.3">
      <c r="A271" t="s">
        <v>698</v>
      </c>
      <c r="B271" s="1">
        <v>44681</v>
      </c>
      <c r="C271" t="s">
        <v>34</v>
      </c>
      <c r="D271" t="str">
        <f>IF(Table1[[#This Row],[Status]]="Cancelled","Cancelled","Completed")</f>
        <v>Completed</v>
      </c>
      <c r="E271" t="s">
        <v>38</v>
      </c>
      <c r="F271" t="s">
        <v>20</v>
      </c>
      <c r="G271" t="s">
        <v>39</v>
      </c>
      <c r="H271" t="s">
        <v>432</v>
      </c>
      <c r="I271" t="s">
        <v>32</v>
      </c>
      <c r="J271" t="s">
        <v>41</v>
      </c>
      <c r="K271" t="s">
        <v>34</v>
      </c>
      <c r="L271">
        <v>1</v>
      </c>
      <c r="M271">
        <v>353</v>
      </c>
      <c r="N271" t="s">
        <v>699</v>
      </c>
      <c r="O271" t="s">
        <v>63</v>
      </c>
      <c r="P271" t="s">
        <v>27</v>
      </c>
      <c r="Q271" t="b">
        <v>0</v>
      </c>
    </row>
    <row r="272" spans="1:18" x14ac:dyDescent="0.3">
      <c r="A272" t="s">
        <v>700</v>
      </c>
      <c r="B272" s="1">
        <v>44681</v>
      </c>
      <c r="C272" t="s">
        <v>34</v>
      </c>
      <c r="D272" t="str">
        <f>IF(Table1[[#This Row],[Status]]="Cancelled","Cancelled","Completed")</f>
        <v>Completed</v>
      </c>
      <c r="E272" t="s">
        <v>38</v>
      </c>
      <c r="F272" t="s">
        <v>20</v>
      </c>
      <c r="G272" t="s">
        <v>39</v>
      </c>
      <c r="H272" t="s">
        <v>701</v>
      </c>
      <c r="I272" t="s">
        <v>32</v>
      </c>
      <c r="J272" t="s">
        <v>46</v>
      </c>
      <c r="K272" t="s">
        <v>34</v>
      </c>
      <c r="L272">
        <v>1</v>
      </c>
      <c r="M272">
        <v>345</v>
      </c>
      <c r="N272" t="s">
        <v>35</v>
      </c>
      <c r="O272" t="s">
        <v>36</v>
      </c>
      <c r="P272" t="s">
        <v>27</v>
      </c>
      <c r="Q272" t="b">
        <v>0</v>
      </c>
    </row>
    <row r="273" spans="1:18" x14ac:dyDescent="0.3">
      <c r="A273" t="s">
        <v>700</v>
      </c>
      <c r="B273" s="1">
        <v>44681</v>
      </c>
      <c r="C273" t="s">
        <v>34</v>
      </c>
      <c r="D273" t="str">
        <f>IF(Table1[[#This Row],[Status]]="Cancelled","Cancelled","Completed")</f>
        <v>Completed</v>
      </c>
      <c r="E273" t="s">
        <v>38</v>
      </c>
      <c r="F273" t="s">
        <v>20</v>
      </c>
      <c r="G273" t="s">
        <v>39</v>
      </c>
      <c r="H273" t="s">
        <v>245</v>
      </c>
      <c r="I273" t="s">
        <v>32</v>
      </c>
      <c r="J273" t="s">
        <v>46</v>
      </c>
      <c r="K273" t="s">
        <v>34</v>
      </c>
      <c r="L273">
        <v>1</v>
      </c>
      <c r="M273">
        <v>329</v>
      </c>
      <c r="N273" t="s">
        <v>35</v>
      </c>
      <c r="O273" t="s">
        <v>36</v>
      </c>
      <c r="P273" t="s">
        <v>27</v>
      </c>
      <c r="Q273" t="b">
        <v>0</v>
      </c>
    </row>
    <row r="274" spans="1:18" x14ac:dyDescent="0.3">
      <c r="A274" t="s">
        <v>702</v>
      </c>
      <c r="B274" s="1">
        <v>44681</v>
      </c>
      <c r="C274" t="s">
        <v>34</v>
      </c>
      <c r="D274" t="str">
        <f>IF(Table1[[#This Row],[Status]]="Cancelled","Cancelled","Completed")</f>
        <v>Completed</v>
      </c>
      <c r="E274" t="s">
        <v>38</v>
      </c>
      <c r="F274" t="s">
        <v>20</v>
      </c>
      <c r="G274" t="s">
        <v>39</v>
      </c>
      <c r="H274" t="s">
        <v>703</v>
      </c>
      <c r="I274" t="s">
        <v>50</v>
      </c>
      <c r="J274" t="s">
        <v>33</v>
      </c>
      <c r="K274" t="s">
        <v>34</v>
      </c>
      <c r="L274">
        <v>1</v>
      </c>
      <c r="M274">
        <v>518</v>
      </c>
      <c r="N274" t="s">
        <v>704</v>
      </c>
      <c r="O274" t="s">
        <v>173</v>
      </c>
      <c r="P274" t="s">
        <v>27</v>
      </c>
      <c r="Q274" t="b">
        <v>0</v>
      </c>
    </row>
    <row r="275" spans="1:18" x14ac:dyDescent="0.3">
      <c r="A275" t="s">
        <v>705</v>
      </c>
      <c r="B275" s="1">
        <v>44681</v>
      </c>
      <c r="C275" t="s">
        <v>34</v>
      </c>
      <c r="D275" t="str">
        <f>IF(Table1[[#This Row],[Status]]="Cancelled","Cancelled","Completed")</f>
        <v>Completed</v>
      </c>
      <c r="E275" t="s">
        <v>38</v>
      </c>
      <c r="F275" t="s">
        <v>20</v>
      </c>
      <c r="G275" t="s">
        <v>39</v>
      </c>
      <c r="H275" t="s">
        <v>706</v>
      </c>
      <c r="I275" t="s">
        <v>50</v>
      </c>
      <c r="J275" t="s">
        <v>72</v>
      </c>
      <c r="K275" t="s">
        <v>34</v>
      </c>
      <c r="L275">
        <v>1</v>
      </c>
      <c r="M275">
        <v>387</v>
      </c>
      <c r="N275" t="s">
        <v>707</v>
      </c>
      <c r="O275" t="s">
        <v>173</v>
      </c>
      <c r="P275" t="s">
        <v>27</v>
      </c>
      <c r="Q275" t="b">
        <v>0</v>
      </c>
    </row>
    <row r="276" spans="1:18" x14ac:dyDescent="0.3">
      <c r="A276" t="s">
        <v>708</v>
      </c>
      <c r="B276" s="1">
        <v>44681</v>
      </c>
      <c r="C276" t="s">
        <v>30</v>
      </c>
      <c r="D276" t="str">
        <f>IF(Table1[[#This Row],[Status]]="Cancelled","Cancelled","Completed")</f>
        <v>Completed</v>
      </c>
      <c r="E276" t="s">
        <v>19</v>
      </c>
      <c r="F276" t="s">
        <v>20</v>
      </c>
      <c r="G276" t="s">
        <v>21</v>
      </c>
      <c r="H276" t="s">
        <v>709</v>
      </c>
      <c r="I276" t="s">
        <v>50</v>
      </c>
      <c r="J276" t="s">
        <v>41</v>
      </c>
      <c r="K276" t="s">
        <v>34</v>
      </c>
      <c r="L276">
        <v>1</v>
      </c>
      <c r="M276">
        <v>339</v>
      </c>
      <c r="N276" t="s">
        <v>62</v>
      </c>
      <c r="O276" t="s">
        <v>63</v>
      </c>
      <c r="P276" t="s">
        <v>27</v>
      </c>
      <c r="Q276" t="b">
        <v>0</v>
      </c>
      <c r="R276" t="s">
        <v>28</v>
      </c>
    </row>
    <row r="277" spans="1:18" x14ac:dyDescent="0.3">
      <c r="A277" t="s">
        <v>710</v>
      </c>
      <c r="B277" s="1">
        <v>44681</v>
      </c>
      <c r="C277" t="s">
        <v>34</v>
      </c>
      <c r="D277" t="str">
        <f>IF(Table1[[#This Row],[Status]]="Cancelled","Cancelled","Completed")</f>
        <v>Completed</v>
      </c>
      <c r="E277" t="s">
        <v>38</v>
      </c>
      <c r="F277" t="s">
        <v>20</v>
      </c>
      <c r="G277" t="s">
        <v>39</v>
      </c>
      <c r="H277" t="s">
        <v>711</v>
      </c>
      <c r="I277" t="s">
        <v>45</v>
      </c>
      <c r="J277" t="s">
        <v>46</v>
      </c>
      <c r="K277" t="s">
        <v>34</v>
      </c>
      <c r="L277">
        <v>1</v>
      </c>
      <c r="M277">
        <v>744</v>
      </c>
      <c r="N277" t="s">
        <v>664</v>
      </c>
      <c r="O277" t="s">
        <v>163</v>
      </c>
      <c r="P277" t="s">
        <v>27</v>
      </c>
      <c r="Q277" t="b">
        <v>0</v>
      </c>
    </row>
    <row r="278" spans="1:18" x14ac:dyDescent="0.3">
      <c r="A278" t="s">
        <v>712</v>
      </c>
      <c r="B278" s="1">
        <v>44681</v>
      </c>
      <c r="C278" t="s">
        <v>30</v>
      </c>
      <c r="D278" t="str">
        <f>IF(Table1[[#This Row],[Status]]="Cancelled","Cancelled","Completed")</f>
        <v>Completed</v>
      </c>
      <c r="E278" t="s">
        <v>19</v>
      </c>
      <c r="F278" t="s">
        <v>20</v>
      </c>
      <c r="G278" t="s">
        <v>21</v>
      </c>
      <c r="H278" t="s">
        <v>713</v>
      </c>
      <c r="I278" t="s">
        <v>23</v>
      </c>
      <c r="J278" t="s">
        <v>41</v>
      </c>
      <c r="K278" t="s">
        <v>34</v>
      </c>
      <c r="L278">
        <v>1</v>
      </c>
      <c r="M278">
        <v>888</v>
      </c>
      <c r="N278" t="s">
        <v>714</v>
      </c>
      <c r="O278" t="s">
        <v>173</v>
      </c>
      <c r="P278" t="s">
        <v>27</v>
      </c>
      <c r="Q278" t="b">
        <v>0</v>
      </c>
      <c r="R278" t="s">
        <v>28</v>
      </c>
    </row>
    <row r="279" spans="1:18" x14ac:dyDescent="0.3">
      <c r="A279" t="s">
        <v>715</v>
      </c>
      <c r="B279" s="1">
        <v>44681</v>
      </c>
      <c r="C279" t="s">
        <v>34</v>
      </c>
      <c r="D279" t="str">
        <f>IF(Table1[[#This Row],[Status]]="Cancelled","Cancelled","Completed")</f>
        <v>Completed</v>
      </c>
      <c r="E279" t="s">
        <v>38</v>
      </c>
      <c r="F279" t="s">
        <v>20</v>
      </c>
      <c r="G279" t="s">
        <v>39</v>
      </c>
      <c r="H279" t="s">
        <v>716</v>
      </c>
      <c r="I279" t="s">
        <v>32</v>
      </c>
      <c r="J279" t="s">
        <v>33</v>
      </c>
      <c r="K279" t="s">
        <v>34</v>
      </c>
      <c r="L279">
        <v>1</v>
      </c>
      <c r="M279">
        <v>487</v>
      </c>
      <c r="N279" t="s">
        <v>717</v>
      </c>
      <c r="O279" t="s">
        <v>142</v>
      </c>
      <c r="P279" t="s">
        <v>27</v>
      </c>
      <c r="Q279" t="b">
        <v>0</v>
      </c>
    </row>
    <row r="280" spans="1:18" x14ac:dyDescent="0.3">
      <c r="A280" t="s">
        <v>718</v>
      </c>
      <c r="B280" s="1">
        <v>44681</v>
      </c>
      <c r="C280" t="s">
        <v>34</v>
      </c>
      <c r="D280" t="str">
        <f>IF(Table1[[#This Row],[Status]]="Cancelled","Cancelled","Completed")</f>
        <v>Completed</v>
      </c>
      <c r="E280" t="s">
        <v>38</v>
      </c>
      <c r="F280" t="s">
        <v>20</v>
      </c>
      <c r="G280" t="s">
        <v>39</v>
      </c>
      <c r="H280" t="s">
        <v>719</v>
      </c>
      <c r="I280" t="s">
        <v>50</v>
      </c>
      <c r="J280" t="s">
        <v>72</v>
      </c>
      <c r="K280" t="s">
        <v>34</v>
      </c>
      <c r="L280">
        <v>1</v>
      </c>
      <c r="M280">
        <v>563</v>
      </c>
      <c r="N280" t="s">
        <v>457</v>
      </c>
      <c r="O280" t="s">
        <v>97</v>
      </c>
      <c r="P280" t="s">
        <v>27</v>
      </c>
      <c r="Q280" t="b">
        <v>0</v>
      </c>
    </row>
    <row r="281" spans="1:18" x14ac:dyDescent="0.3">
      <c r="A281" t="s">
        <v>720</v>
      </c>
      <c r="B281" s="1">
        <v>44681</v>
      </c>
      <c r="C281" t="s">
        <v>34</v>
      </c>
      <c r="D281" t="str">
        <f>IF(Table1[[#This Row],[Status]]="Cancelled","Cancelled","Completed")</f>
        <v>Completed</v>
      </c>
      <c r="E281" t="s">
        <v>38</v>
      </c>
      <c r="F281" t="s">
        <v>20</v>
      </c>
      <c r="G281" t="s">
        <v>39</v>
      </c>
      <c r="H281" t="s">
        <v>721</v>
      </c>
      <c r="I281" t="s">
        <v>45</v>
      </c>
      <c r="J281" t="s">
        <v>24</v>
      </c>
      <c r="K281" t="s">
        <v>34</v>
      </c>
      <c r="L281">
        <v>1</v>
      </c>
      <c r="M281">
        <v>859</v>
      </c>
      <c r="N281" t="s">
        <v>407</v>
      </c>
      <c r="O281" t="s">
        <v>85</v>
      </c>
      <c r="P281" t="s">
        <v>27</v>
      </c>
      <c r="Q281" t="b">
        <v>0</v>
      </c>
    </row>
    <row r="282" spans="1:18" x14ac:dyDescent="0.3">
      <c r="A282" t="s">
        <v>722</v>
      </c>
      <c r="B282" s="1">
        <v>44681</v>
      </c>
      <c r="C282" t="s">
        <v>34</v>
      </c>
      <c r="D282" t="str">
        <f>IF(Table1[[#This Row],[Status]]="Cancelled","Cancelled","Completed")</f>
        <v>Completed</v>
      </c>
      <c r="E282" t="s">
        <v>38</v>
      </c>
      <c r="F282" t="s">
        <v>20</v>
      </c>
      <c r="G282" t="s">
        <v>39</v>
      </c>
      <c r="H282" t="s">
        <v>723</v>
      </c>
      <c r="I282" t="s">
        <v>23</v>
      </c>
      <c r="J282" t="s">
        <v>46</v>
      </c>
      <c r="K282" t="s">
        <v>34</v>
      </c>
      <c r="L282">
        <v>1</v>
      </c>
      <c r="M282">
        <v>1133</v>
      </c>
      <c r="N282" t="s">
        <v>25</v>
      </c>
      <c r="O282" t="s">
        <v>26</v>
      </c>
      <c r="P282" t="s">
        <v>27</v>
      </c>
      <c r="Q282" t="b">
        <v>0</v>
      </c>
    </row>
    <row r="283" spans="1:18" x14ac:dyDescent="0.3">
      <c r="A283" t="s">
        <v>724</v>
      </c>
      <c r="B283" s="1">
        <v>44681</v>
      </c>
      <c r="C283" t="s">
        <v>34</v>
      </c>
      <c r="D283" t="str">
        <f>IF(Table1[[#This Row],[Status]]="Cancelled","Cancelled","Completed")</f>
        <v>Completed</v>
      </c>
      <c r="E283" t="s">
        <v>38</v>
      </c>
      <c r="F283" t="s">
        <v>20</v>
      </c>
      <c r="G283" t="s">
        <v>39</v>
      </c>
      <c r="H283" t="s">
        <v>725</v>
      </c>
      <c r="I283" t="s">
        <v>23</v>
      </c>
      <c r="J283" t="s">
        <v>72</v>
      </c>
      <c r="K283" t="s">
        <v>34</v>
      </c>
      <c r="L283">
        <v>1</v>
      </c>
      <c r="M283">
        <v>788</v>
      </c>
      <c r="N283" t="s">
        <v>726</v>
      </c>
      <c r="O283" t="s">
        <v>26</v>
      </c>
      <c r="P283" t="s">
        <v>27</v>
      </c>
      <c r="Q283" t="b">
        <v>0</v>
      </c>
    </row>
    <row r="284" spans="1:18" x14ac:dyDescent="0.3">
      <c r="A284" t="s">
        <v>727</v>
      </c>
      <c r="B284" s="1">
        <v>44681</v>
      </c>
      <c r="C284" t="s">
        <v>34</v>
      </c>
      <c r="D284" t="str">
        <f>IF(Table1[[#This Row],[Status]]="Cancelled","Cancelled","Completed")</f>
        <v>Completed</v>
      </c>
      <c r="E284" t="s">
        <v>38</v>
      </c>
      <c r="F284" t="s">
        <v>20</v>
      </c>
      <c r="G284" t="s">
        <v>39</v>
      </c>
      <c r="H284" t="s">
        <v>728</v>
      </c>
      <c r="I284" t="s">
        <v>23</v>
      </c>
      <c r="J284" t="s">
        <v>24</v>
      </c>
      <c r="K284" t="s">
        <v>34</v>
      </c>
      <c r="L284">
        <v>1</v>
      </c>
      <c r="M284">
        <v>1463</v>
      </c>
      <c r="N284" t="s">
        <v>221</v>
      </c>
      <c r="O284" t="s">
        <v>26</v>
      </c>
      <c r="P284" t="s">
        <v>27</v>
      </c>
      <c r="Q284"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C1A2D-6403-4F66-B806-24195D59DC4D}">
  <dimension ref="A1:B8"/>
  <sheetViews>
    <sheetView workbookViewId="0">
      <selection activeCell="D7" sqref="D7"/>
    </sheetView>
  </sheetViews>
  <sheetFormatPr defaultRowHeight="14.4" x14ac:dyDescent="0.3"/>
  <cols>
    <col min="1" max="1" width="30.44140625" customWidth="1"/>
    <col min="2" max="2" width="10.33203125" customWidth="1"/>
  </cols>
  <sheetData>
    <row r="1" spans="1:2" x14ac:dyDescent="0.3">
      <c r="A1" t="s">
        <v>746</v>
      </c>
      <c r="B1" t="s">
        <v>747</v>
      </c>
    </row>
    <row r="2" spans="1:2" x14ac:dyDescent="0.3">
      <c r="A2" t="s">
        <v>730</v>
      </c>
      <c r="B2">
        <f>SUM('Cleaned data'!M:M)</f>
        <v>180881.75</v>
      </c>
    </row>
    <row r="3" spans="1:2" x14ac:dyDescent="0.3">
      <c r="A3" t="s">
        <v>731</v>
      </c>
      <c r="B3">
        <f>COUNTA('Cleaned data'!A:A)</f>
        <v>284</v>
      </c>
    </row>
    <row r="4" spans="1:2" x14ac:dyDescent="0.3">
      <c r="A4" t="s">
        <v>732</v>
      </c>
      <c r="B4">
        <f>SUM('Cleaned data'!L:L)</f>
        <v>275</v>
      </c>
    </row>
    <row r="5" spans="1:2" x14ac:dyDescent="0.3">
      <c r="A5" t="s">
        <v>735</v>
      </c>
      <c r="B5">
        <f>COUNTIF('Cleaned data'!D:D,"Cancelled")</f>
        <v>16</v>
      </c>
    </row>
    <row r="6" spans="1:2" x14ac:dyDescent="0.3">
      <c r="A6" t="s">
        <v>733</v>
      </c>
      <c r="B6">
        <f>COUNTIF('Cleaned data'!D:D,"Completed")</f>
        <v>267</v>
      </c>
    </row>
    <row r="7" spans="1:2" x14ac:dyDescent="0.3">
      <c r="A7" t="s">
        <v>734</v>
      </c>
      <c r="B7" s="2">
        <f>B5/B3</f>
        <v>5.6338028169014086E-2</v>
      </c>
    </row>
    <row r="8" spans="1:2" x14ac:dyDescent="0.3">
      <c r="A8" t="s">
        <v>736</v>
      </c>
      <c r="B8">
        <f>AVERAGE('Cleaned data'!M:M)</f>
        <v>639.15812720848055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493B-1BD8-41D2-A967-4AA951FDB8F8}">
  <dimension ref="B5:C12"/>
  <sheetViews>
    <sheetView workbookViewId="0">
      <selection activeCell="L3" sqref="L3"/>
    </sheetView>
  </sheetViews>
  <sheetFormatPr defaultRowHeight="14.4" x14ac:dyDescent="0.3"/>
  <cols>
    <col min="2" max="2" width="12.77734375" bestFit="1" customWidth="1"/>
    <col min="3" max="3" width="13.5546875" bestFit="1" customWidth="1"/>
  </cols>
  <sheetData>
    <row r="5" spans="2:3" x14ac:dyDescent="0.3">
      <c r="B5" s="3" t="s">
        <v>737</v>
      </c>
      <c r="C5" t="s">
        <v>739</v>
      </c>
    </row>
    <row r="6" spans="2:3" x14ac:dyDescent="0.3">
      <c r="B6" s="4" t="s">
        <v>23</v>
      </c>
      <c r="C6">
        <v>100277.60999999999</v>
      </c>
    </row>
    <row r="7" spans="2:3" x14ac:dyDescent="0.3">
      <c r="B7" s="4" t="s">
        <v>32</v>
      </c>
      <c r="C7">
        <v>48460</v>
      </c>
    </row>
    <row r="8" spans="2:3" x14ac:dyDescent="0.3">
      <c r="B8" s="4" t="s">
        <v>45</v>
      </c>
      <c r="C8">
        <v>18959.330000000002</v>
      </c>
    </row>
    <row r="9" spans="2:3" x14ac:dyDescent="0.3">
      <c r="B9" s="4" t="s">
        <v>50</v>
      </c>
      <c r="C9">
        <v>11263.810000000001</v>
      </c>
    </row>
    <row r="10" spans="2:3" x14ac:dyDescent="0.3">
      <c r="B10" s="4" t="s">
        <v>158</v>
      </c>
      <c r="C10">
        <v>1544</v>
      </c>
    </row>
    <row r="11" spans="2:3" x14ac:dyDescent="0.3">
      <c r="B11" s="4" t="s">
        <v>266</v>
      </c>
      <c r="C11">
        <v>377</v>
      </c>
    </row>
    <row r="12" spans="2:3" x14ac:dyDescent="0.3">
      <c r="B12" s="4" t="s">
        <v>738</v>
      </c>
      <c r="C12">
        <v>180881.75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2084-B130-4C68-92B8-761D79338B53}">
  <dimension ref="B6:C9"/>
  <sheetViews>
    <sheetView workbookViewId="0">
      <selection activeCell="N11" sqref="N11"/>
    </sheetView>
  </sheetViews>
  <sheetFormatPr defaultRowHeight="14.4" x14ac:dyDescent="0.3"/>
  <cols>
    <col min="2" max="2" width="12.44140625" bestFit="1" customWidth="1"/>
    <col min="3" max="3" width="15.109375" bestFit="1" customWidth="1"/>
  </cols>
  <sheetData>
    <row r="6" spans="2:3" x14ac:dyDescent="0.3">
      <c r="B6" s="3" t="s">
        <v>737</v>
      </c>
      <c r="C6" t="s">
        <v>741</v>
      </c>
    </row>
    <row r="7" spans="2:3" x14ac:dyDescent="0.3">
      <c r="B7" s="4" t="s">
        <v>18</v>
      </c>
      <c r="C7">
        <v>16</v>
      </c>
    </row>
    <row r="8" spans="2:3" x14ac:dyDescent="0.3">
      <c r="B8" s="4" t="s">
        <v>740</v>
      </c>
      <c r="C8">
        <v>267</v>
      </c>
    </row>
    <row r="9" spans="2:3" x14ac:dyDescent="0.3">
      <c r="B9" s="4" t="s">
        <v>738</v>
      </c>
      <c r="C9">
        <v>283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1C6D3-88C6-40A7-A32C-FABA8BC39A47}">
  <dimension ref="B2:C13"/>
  <sheetViews>
    <sheetView workbookViewId="0">
      <selection activeCell="N4" sqref="N4"/>
    </sheetView>
  </sheetViews>
  <sheetFormatPr defaultRowHeight="14.4" x14ac:dyDescent="0.3"/>
  <cols>
    <col min="2" max="2" width="14.5546875" bestFit="1" customWidth="1"/>
    <col min="3" max="3" width="13.5546875" bestFit="1" customWidth="1"/>
  </cols>
  <sheetData>
    <row r="2" spans="2:3" x14ac:dyDescent="0.3">
      <c r="B2" s="3" t="s">
        <v>737</v>
      </c>
      <c r="C2" t="s">
        <v>739</v>
      </c>
    </row>
    <row r="3" spans="2:3" x14ac:dyDescent="0.3">
      <c r="B3" s="4" t="s">
        <v>36</v>
      </c>
      <c r="C3">
        <v>27149.35</v>
      </c>
    </row>
    <row r="4" spans="2:3" x14ac:dyDescent="0.3">
      <c r="B4" s="4" t="s">
        <v>26</v>
      </c>
      <c r="C4">
        <v>26778.1</v>
      </c>
    </row>
    <row r="5" spans="2:3" x14ac:dyDescent="0.3">
      <c r="B5" s="4" t="s">
        <v>56</v>
      </c>
      <c r="C5">
        <v>16707</v>
      </c>
    </row>
    <row r="6" spans="2:3" x14ac:dyDescent="0.3">
      <c r="B6" s="4" t="s">
        <v>63</v>
      </c>
      <c r="C6">
        <v>14093</v>
      </c>
    </row>
    <row r="7" spans="2:3" x14ac:dyDescent="0.3">
      <c r="B7" s="4" t="s">
        <v>173</v>
      </c>
      <c r="C7">
        <v>13361</v>
      </c>
    </row>
    <row r="8" spans="2:3" x14ac:dyDescent="0.3">
      <c r="B8" s="4" t="s">
        <v>52</v>
      </c>
      <c r="C8">
        <v>11818</v>
      </c>
    </row>
    <row r="9" spans="2:3" x14ac:dyDescent="0.3">
      <c r="B9" s="4" t="s">
        <v>222</v>
      </c>
      <c r="C9">
        <v>7275</v>
      </c>
    </row>
    <row r="10" spans="2:3" x14ac:dyDescent="0.3">
      <c r="B10" s="4" t="s">
        <v>97</v>
      </c>
      <c r="C10">
        <v>6444.04</v>
      </c>
    </row>
    <row r="11" spans="2:3" x14ac:dyDescent="0.3">
      <c r="B11" s="4" t="s">
        <v>93</v>
      </c>
      <c r="C11">
        <v>6428</v>
      </c>
    </row>
    <row r="12" spans="2:3" x14ac:dyDescent="0.3">
      <c r="B12" s="4" t="s">
        <v>283</v>
      </c>
      <c r="C12">
        <v>6402</v>
      </c>
    </row>
    <row r="13" spans="2:3" x14ac:dyDescent="0.3">
      <c r="B13" s="4" t="s">
        <v>738</v>
      </c>
      <c r="C13">
        <v>136455.49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69F8-4337-40F2-AF6C-393A9EF1C4DD}">
  <dimension ref="B2:C5"/>
  <sheetViews>
    <sheetView workbookViewId="0">
      <selection activeCell="N4" sqref="N4"/>
    </sheetView>
  </sheetViews>
  <sheetFormatPr defaultRowHeight="14.4" x14ac:dyDescent="0.3"/>
  <cols>
    <col min="2" max="2" width="12.44140625" bestFit="1" customWidth="1"/>
    <col min="3" max="3" width="13.5546875" bestFit="1" customWidth="1"/>
  </cols>
  <sheetData>
    <row r="2" spans="2:3" x14ac:dyDescent="0.3">
      <c r="B2" s="3" t="s">
        <v>737</v>
      </c>
      <c r="C2" t="s">
        <v>739</v>
      </c>
    </row>
    <row r="3" spans="2:3" x14ac:dyDescent="0.3">
      <c r="B3" s="4" t="s">
        <v>742</v>
      </c>
      <c r="C3">
        <v>139811</v>
      </c>
    </row>
    <row r="4" spans="2:3" x14ac:dyDescent="0.3">
      <c r="B4" s="4" t="s">
        <v>28</v>
      </c>
      <c r="C4">
        <v>41070.75</v>
      </c>
    </row>
    <row r="5" spans="2:3" x14ac:dyDescent="0.3">
      <c r="B5" s="4" t="s">
        <v>738</v>
      </c>
      <c r="C5">
        <v>180881.75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2CDD7-0D31-4C54-82E6-241E29A7C958}">
  <dimension ref="B3:C14"/>
  <sheetViews>
    <sheetView workbookViewId="0">
      <selection activeCell="O20" sqref="O20"/>
    </sheetView>
  </sheetViews>
  <sheetFormatPr defaultRowHeight="14.4" x14ac:dyDescent="0.3"/>
  <cols>
    <col min="2" max="2" width="12.44140625" bestFit="1" customWidth="1"/>
    <col min="3" max="3" width="9.88671875" bestFit="1" customWidth="1"/>
  </cols>
  <sheetData>
    <row r="3" spans="2:3" x14ac:dyDescent="0.3">
      <c r="B3" s="3" t="s">
        <v>737</v>
      </c>
      <c r="C3" t="s">
        <v>743</v>
      </c>
    </row>
    <row r="4" spans="2:3" x14ac:dyDescent="0.3">
      <c r="B4" s="4" t="s">
        <v>105</v>
      </c>
      <c r="C4">
        <v>54</v>
      </c>
    </row>
    <row r="5" spans="2:3" x14ac:dyDescent="0.3">
      <c r="B5" s="4" t="s">
        <v>24</v>
      </c>
      <c r="C5">
        <v>44</v>
      </c>
    </row>
    <row r="6" spans="2:3" x14ac:dyDescent="0.3">
      <c r="B6" s="4" t="s">
        <v>41</v>
      </c>
      <c r="C6">
        <v>42</v>
      </c>
    </row>
    <row r="7" spans="2:3" x14ac:dyDescent="0.3">
      <c r="B7" s="4" t="s">
        <v>66</v>
      </c>
      <c r="C7">
        <v>37</v>
      </c>
    </row>
    <row r="8" spans="2:3" x14ac:dyDescent="0.3">
      <c r="B8" s="4" t="s">
        <v>46</v>
      </c>
      <c r="C8">
        <v>37</v>
      </c>
    </row>
    <row r="9" spans="2:3" x14ac:dyDescent="0.3">
      <c r="B9" s="4" t="s">
        <v>33</v>
      </c>
      <c r="C9">
        <v>32</v>
      </c>
    </row>
    <row r="10" spans="2:3" x14ac:dyDescent="0.3">
      <c r="B10" s="4" t="s">
        <v>72</v>
      </c>
      <c r="C10">
        <v>23</v>
      </c>
    </row>
    <row r="11" spans="2:3" x14ac:dyDescent="0.3">
      <c r="B11" s="4" t="s">
        <v>83</v>
      </c>
      <c r="C11">
        <v>3</v>
      </c>
    </row>
    <row r="12" spans="2:3" x14ac:dyDescent="0.3">
      <c r="B12" s="4" t="s">
        <v>125</v>
      </c>
      <c r="C12">
        <v>2</v>
      </c>
    </row>
    <row r="13" spans="2:3" x14ac:dyDescent="0.3">
      <c r="B13" s="4" t="s">
        <v>637</v>
      </c>
      <c r="C13">
        <v>1</v>
      </c>
    </row>
    <row r="14" spans="2:3" x14ac:dyDescent="0.3">
      <c r="B14" s="4" t="s">
        <v>738</v>
      </c>
      <c r="C14">
        <v>275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E405-DD09-4110-9AE3-AE8ACBA9BB10}">
  <dimension ref="B4:C16"/>
  <sheetViews>
    <sheetView workbookViewId="0">
      <selection activeCell="B7" sqref="B5:B15"/>
    </sheetView>
  </sheetViews>
  <sheetFormatPr defaultRowHeight="14.4" x14ac:dyDescent="0.3"/>
  <cols>
    <col min="2" max="2" width="16.44140625" bestFit="1" customWidth="1"/>
    <col min="3" max="3" width="13.5546875" bestFit="1" customWidth="1"/>
  </cols>
  <sheetData>
    <row r="4" spans="2:3" x14ac:dyDescent="0.3">
      <c r="B4" s="3" t="s">
        <v>737</v>
      </c>
      <c r="C4" t="s">
        <v>739</v>
      </c>
    </row>
    <row r="5" spans="2:3" x14ac:dyDescent="0.3">
      <c r="B5" s="4" t="s">
        <v>169</v>
      </c>
      <c r="C5">
        <v>2364</v>
      </c>
    </row>
    <row r="6" spans="2:3" x14ac:dyDescent="0.3">
      <c r="B6" s="4" t="s">
        <v>361</v>
      </c>
      <c r="C6">
        <v>2230</v>
      </c>
    </row>
    <row r="7" spans="2:3" x14ac:dyDescent="0.3">
      <c r="B7" s="4" t="s">
        <v>659</v>
      </c>
      <c r="C7">
        <v>2130</v>
      </c>
    </row>
    <row r="8" spans="2:3" x14ac:dyDescent="0.3">
      <c r="B8" s="4" t="s">
        <v>104</v>
      </c>
      <c r="C8">
        <v>1918</v>
      </c>
    </row>
    <row r="9" spans="2:3" x14ac:dyDescent="0.3">
      <c r="B9" s="4" t="s">
        <v>368</v>
      </c>
      <c r="C9">
        <v>1791</v>
      </c>
    </row>
    <row r="10" spans="2:3" x14ac:dyDescent="0.3">
      <c r="B10" s="4" t="s">
        <v>297</v>
      </c>
      <c r="C10">
        <v>1704</v>
      </c>
    </row>
    <row r="11" spans="2:3" x14ac:dyDescent="0.3">
      <c r="B11" s="4" t="s">
        <v>109</v>
      </c>
      <c r="C11">
        <v>1696.48</v>
      </c>
    </row>
    <row r="12" spans="2:3" x14ac:dyDescent="0.3">
      <c r="B12" s="4" t="s">
        <v>728</v>
      </c>
      <c r="C12">
        <v>1463</v>
      </c>
    </row>
    <row r="13" spans="2:3" x14ac:dyDescent="0.3">
      <c r="B13" s="4" t="s">
        <v>400</v>
      </c>
      <c r="C13">
        <v>1399</v>
      </c>
    </row>
    <row r="14" spans="2:3" x14ac:dyDescent="0.3">
      <c r="B14" s="4" t="s">
        <v>615</v>
      </c>
      <c r="C14">
        <v>1338</v>
      </c>
    </row>
    <row r="15" spans="2:3" x14ac:dyDescent="0.3">
      <c r="B15" s="4" t="s">
        <v>304</v>
      </c>
      <c r="C15">
        <v>1338</v>
      </c>
    </row>
    <row r="16" spans="2:3" x14ac:dyDescent="0.3">
      <c r="B16" s="4" t="s">
        <v>738</v>
      </c>
      <c r="C16">
        <v>19371.48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D90E-C9BB-46A1-95F2-04DE7315B3CE}">
  <dimension ref="B4:C7"/>
  <sheetViews>
    <sheetView workbookViewId="0">
      <selection activeCell="J26" sqref="J26"/>
    </sheetView>
  </sheetViews>
  <sheetFormatPr defaultRowHeight="14.4" x14ac:dyDescent="0.3"/>
  <cols>
    <col min="2" max="2" width="15" bestFit="1" customWidth="1"/>
    <col min="3" max="3" width="15.109375" bestFit="1" customWidth="1"/>
  </cols>
  <sheetData>
    <row r="4" spans="2:3" x14ac:dyDescent="0.3">
      <c r="B4" s="3" t="s">
        <v>737</v>
      </c>
      <c r="C4" t="s">
        <v>741</v>
      </c>
    </row>
    <row r="5" spans="2:3" x14ac:dyDescent="0.3">
      <c r="B5" s="4" t="s">
        <v>744</v>
      </c>
      <c r="C5">
        <v>281</v>
      </c>
    </row>
    <row r="6" spans="2:3" x14ac:dyDescent="0.3">
      <c r="B6" s="4" t="s">
        <v>745</v>
      </c>
      <c r="C6">
        <v>2</v>
      </c>
    </row>
    <row r="7" spans="2:3" x14ac:dyDescent="0.3">
      <c r="B7" s="4" t="s">
        <v>738</v>
      </c>
      <c r="C7">
        <v>283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D2C66-4768-4E96-A3D5-FA60031711CD}">
  <dimension ref="A1"/>
  <sheetViews>
    <sheetView showGridLines="0" tabSelected="1" workbookViewId="0">
      <selection activeCell="L3" sqref="L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Cleaned data</vt:lpstr>
      <vt:lpstr>KPI</vt:lpstr>
      <vt:lpstr>Category analysis</vt:lpstr>
      <vt:lpstr>Status analysis</vt:lpstr>
      <vt:lpstr>state analysis</vt:lpstr>
      <vt:lpstr>Fulfillment_Analysis</vt:lpstr>
      <vt:lpstr>size analysis</vt:lpstr>
      <vt:lpstr>Top products analysis</vt:lpstr>
      <vt:lpstr>B2B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ASMILA  BENZY</dc:creator>
  <cp:lastModifiedBy>ASMILA  BENZY</cp:lastModifiedBy>
  <dcterms:created xsi:type="dcterms:W3CDTF">2026-05-24T15:19:23Z</dcterms:created>
  <dcterms:modified xsi:type="dcterms:W3CDTF">2026-06-25T08:14:02Z</dcterms:modified>
</cp:coreProperties>
</file>